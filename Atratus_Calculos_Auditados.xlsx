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· Cómo leer" sheetId="1" state="visible" r:id="rId1"/>
    <sheet xmlns:r="http://schemas.openxmlformats.org/officeDocument/2006/relationships" name="01 · Precios reales" sheetId="2" state="visible" r:id="rId2"/>
    <sheet xmlns:r="http://schemas.openxmlformats.org/officeDocument/2006/relationships" name="02 · Línea base actual" sheetId="3" state="visible" r:id="rId3"/>
    <sheet xmlns:r="http://schemas.openxmlformats.org/officeDocument/2006/relationships" name="03 · Sector (Bluecore)" sheetId="4" state="visible" r:id="rId4"/>
    <sheet xmlns:r="http://schemas.openxmlformats.org/officeDocument/2006/relationships" name="04 · SEO Topic Cluster" sheetId="5" state="visible" r:id="rId5"/>
    <sheet xmlns:r="http://schemas.openxmlformats.org/officeDocument/2006/relationships" name="05 · Pauta Fase 1" sheetId="6" state="visible" r:id="rId6"/>
    <sheet xmlns:r="http://schemas.openxmlformats.org/officeDocument/2006/relationships" name="06 · Pauta Fase 2" sheetId="7" state="visible" r:id="rId7"/>
    <sheet xmlns:r="http://schemas.openxmlformats.org/officeDocument/2006/relationships" name="07 · Reactivación email" sheetId="8" state="visible" r:id="rId8"/>
    <sheet xmlns:r="http://schemas.openxmlformats.org/officeDocument/2006/relationships" name="08 · Escalabilidad" sheetId="9" state="visible" r:id="rId9"/>
    <sheet xmlns:r="http://schemas.openxmlformats.org/officeDocument/2006/relationships" name="09 · Presupuesto Año 1" sheetId="10" state="visible" r:id="rId10"/>
    <sheet xmlns:r="http://schemas.openxmlformats.org/officeDocument/2006/relationships" name="10 · Retorno Año 1" sheetId="11" state="visible" r:id="rId11"/>
    <sheet xmlns:r="http://schemas.openxmlformats.org/officeDocument/2006/relationships" name="11 · Sensibilidad" sheetId="12" state="visible" r:id="rId12"/>
    <sheet xmlns:r="http://schemas.openxmlformats.org/officeDocument/2006/relationships" name="12 · Validación calculado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&quot;$&quot;#,##0&quot; COP&quot;"/>
    <numFmt numFmtId="165" formatCode="#,##0&quot; personas&quot;"/>
    <numFmt numFmtId="166" formatCode="0.0&quot; x/año&quot;"/>
    <numFmt numFmtId="167" formatCode="0.0%"/>
    <numFmt numFmtId="168" formatCode="#,##0&quot; compras&quot;"/>
    <numFmt numFmtId="169" formatCode="#,##0&quot; /mes&quot;"/>
    <numFmt numFmtId="170" formatCode="#,##0&quot; especies&quot;"/>
    <numFmt numFmtId="171" formatCode="&quot;$&quot;#,##0"/>
    <numFmt numFmtId="172" formatCode="0.00&quot;x&quot;"/>
    <numFmt numFmtId="173" formatCode="#,##0&quot; órdenes&quot;"/>
    <numFmt numFmtId="174" formatCode="&quot;$&quot;#,##0&quot; COP/mes&quot;"/>
    <numFmt numFmtId="175" formatCode="0&quot; meses&quot;"/>
    <numFmt numFmtId="176" formatCode="#,##0&quot; envíos&quot;"/>
    <numFmt numFmtId="177" formatCode="0.0&quot;x&quot;"/>
    <numFmt numFmtId="178" formatCode="0&quot;x&quot;"/>
  </numFmts>
  <fonts count="15">
    <font>
      <name val="Calibri"/>
      <family val="2"/>
      <color theme="1"/>
      <sz val="11"/>
      <scheme val="minor"/>
    </font>
    <font>
      <name val="Helvetica"/>
      <b val="1"/>
      <color rgb="000E0E0E"/>
      <sz val="20"/>
    </font>
    <font>
      <name val="Helvetica"/>
      <color rgb="008A847A"/>
      <sz val="9"/>
    </font>
    <font>
      <name val="Helvetica"/>
      <i val="1"/>
      <color rgb="001F3D2E"/>
      <sz val="9"/>
    </font>
    <font>
      <name val="Helvetica"/>
      <b val="1"/>
      <color rgb="00FFFFFF"/>
      <sz val="14"/>
    </font>
    <font>
      <name val="Helvetica"/>
      <color rgb="000E0E0E"/>
      <sz val="10"/>
    </font>
    <font>
      <name val="Helvetica"/>
      <b val="1"/>
      <color rgb="00FFFFFF"/>
      <sz val="10"/>
    </font>
    <font>
      <name val="Menlo"/>
      <b val="1"/>
      <color rgb="001F3D2E"/>
      <sz val="11"/>
    </font>
    <font>
      <name val="Helvetica"/>
      <i val="1"/>
      <color rgb="003D3D3D"/>
      <sz val="10"/>
    </font>
    <font>
      <name val="Helvetica"/>
      <b val="1"/>
      <color rgb="000E0E0E"/>
      <sz val="10"/>
    </font>
    <font>
      <name val="Menlo"/>
      <color rgb="001B2A41"/>
      <sz val="9"/>
    </font>
    <font>
      <name val="Helvetica"/>
      <b val="1"/>
      <color rgb="00A6362B"/>
      <sz val="10"/>
    </font>
    <font>
      <name val="Helvetica"/>
      <b val="1"/>
      <color rgb="001F3D2E"/>
      <sz val="10"/>
    </font>
    <font>
      <name val="Helvetica"/>
      <i val="1"/>
      <color rgb="00A6362B"/>
      <sz val="9"/>
    </font>
    <font>
      <name val="Menlo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F3D2E"/>
      </patternFill>
    </fill>
    <fill>
      <patternFill patternType="solid">
        <fgColor rgb="001B2A41"/>
      </patternFill>
    </fill>
    <fill>
      <patternFill patternType="solid">
        <fgColor rgb="00F0F5F2"/>
      </patternFill>
    </fill>
    <fill>
      <patternFill patternType="solid">
        <fgColor rgb="00A6362B"/>
      </patternFill>
    </fill>
    <fill>
      <patternFill patternType="solid">
        <fgColor rgb="00F9EBE9"/>
      </patternFill>
    </fill>
    <fill>
      <patternFill patternType="solid">
        <fgColor rgb="005C8A7B"/>
      </patternFill>
    </fill>
    <fill>
      <patternFill patternType="solid">
        <fgColor rgb="00E8E3D8"/>
      </patternFill>
    </fill>
    <fill>
      <patternFill patternType="solid">
        <fgColor rgb="00C8B294"/>
      </patternFill>
    </fill>
    <fill>
      <patternFill patternType="solid">
        <fgColor rgb="00EFEAD8"/>
      </patternFill>
    </fill>
    <fill>
      <patternFill patternType="solid">
        <fgColor rgb="00EEF2EB"/>
      </patternFill>
    </fill>
  </fills>
  <borders count="2">
    <border>
      <left/>
      <right/>
      <top/>
      <bottom/>
      <diagonal/>
    </border>
    <border>
      <left style="thin">
        <color rgb="00C8C2B5"/>
      </left>
      <right style="thin">
        <color rgb="00C8C2B5"/>
      </right>
      <top style="thin">
        <color rgb="00C8C2B5"/>
      </top>
      <bottom style="thin">
        <color rgb="00C8C2B5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left" vertical="center" wrapText="1"/>
    </xf>
    <xf numFmtId="0" fontId="5" fillId="0" borderId="1" pivotButton="0" quotePrefix="0" xfId="0"/>
    <xf numFmtId="164" fontId="7" fillId="4" borderId="1" applyAlignment="1" pivotButton="0" quotePrefix="0" xfId="0">
      <alignment horizontal="right" vertical="center"/>
    </xf>
    <xf numFmtId="0" fontId="8" fillId="0" borderId="1" pivotButton="0" quotePrefix="0" xfId="0"/>
    <xf numFmtId="0" fontId="0" fillId="0" borderId="1" pivotButton="0" quotePrefix="0" xfId="0"/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165" fontId="7" fillId="4" borderId="1" applyAlignment="1" pivotButton="0" quotePrefix="0" xfId="0">
      <alignment horizontal="right" vertical="center"/>
    </xf>
    <xf numFmtId="166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left" vertical="center" wrapText="1"/>
    </xf>
    <xf numFmtId="164" fontId="7" fillId="6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 wrapText="1"/>
    </xf>
    <xf numFmtId="168" fontId="7" fillId="4" borderId="1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wrapText="1"/>
    </xf>
    <xf numFmtId="169" fontId="7" fillId="0" borderId="1" applyAlignment="1" pivotButton="0" quotePrefix="0" xfId="0">
      <alignment horizontal="left" vertical="center" wrapText="1"/>
    </xf>
    <xf numFmtId="169" fontId="7" fillId="4" borderId="1" applyAlignment="1" pivotButton="0" quotePrefix="0" xfId="0">
      <alignment horizontal="right" vertical="center"/>
    </xf>
    <xf numFmtId="170" fontId="7" fillId="4" borderId="1" applyAlignment="1" pivotButton="0" quotePrefix="0" xfId="0">
      <alignment horizontal="right" vertical="center"/>
    </xf>
    <xf numFmtId="171" fontId="7" fillId="0" borderId="1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left" vertical="center" wrapText="1"/>
    </xf>
    <xf numFmtId="172" fontId="7" fillId="0" borderId="1" applyAlignment="1" pivotButton="0" quotePrefix="0" xfId="0">
      <alignment horizontal="left" vertical="center" wrapText="1"/>
    </xf>
    <xf numFmtId="0" fontId="9" fillId="8" borderId="1" pivotButton="0" quotePrefix="0" xfId="0"/>
    <xf numFmtId="171" fontId="7" fillId="8" borderId="1" pivotButton="0" quotePrefix="0" xfId="0"/>
    <xf numFmtId="9" fontId="0" fillId="8" borderId="1" pivotButton="0" quotePrefix="0" xfId="0"/>
    <xf numFmtId="172" fontId="7" fillId="8" borderId="1" pivotButton="0" quotePrefix="0" xfId="0"/>
    <xf numFmtId="172" fontId="7" fillId="4" borderId="1" applyAlignment="1" pivotButton="0" quotePrefix="0" xfId="0">
      <alignment horizontal="right" vertical="center"/>
    </xf>
    <xf numFmtId="173" fontId="7" fillId="4" borderId="1" applyAlignment="1" pivotButton="0" quotePrefix="0" xfId="0">
      <alignment horizontal="right" vertical="center"/>
    </xf>
    <xf numFmtId="0" fontId="4" fillId="9" borderId="0" applyAlignment="1" pivotButton="0" quotePrefix="0" xfId="0">
      <alignment horizontal="left" vertical="center" indent="1"/>
    </xf>
    <xf numFmtId="0" fontId="5" fillId="10" borderId="0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left" vertical="center" wrapText="1"/>
    </xf>
    <xf numFmtId="0" fontId="13" fillId="0" borderId="0" pivotButton="0" quotePrefix="0" xfId="0"/>
    <xf numFmtId="174" fontId="7" fillId="4" borderId="1" applyAlignment="1" pivotButton="0" quotePrefix="0" xfId="0">
      <alignment horizontal="right" vertical="center"/>
    </xf>
    <xf numFmtId="175" fontId="7" fillId="4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left" vertical="center" wrapText="1"/>
    </xf>
    <xf numFmtId="0" fontId="5" fillId="11" borderId="0" applyAlignment="1" pivotButton="0" quotePrefix="0" xfId="0">
      <alignment horizontal="left" vertical="center" wrapText="1"/>
    </xf>
    <xf numFmtId="9" fontId="7" fillId="4" borderId="1" applyAlignment="1" pivotButton="0" quotePrefix="0" xfId="0">
      <alignment horizontal="right" vertical="center"/>
    </xf>
    <xf numFmtId="176" fontId="7" fillId="4" borderId="1" applyAlignment="1" pivotButton="0" quotePrefix="0" xfId="0">
      <alignment horizontal="right" vertical="center"/>
    </xf>
    <xf numFmtId="177" fontId="7" fillId="4" borderId="1" applyAlignment="1" pivotButton="0" quotePrefix="0" xfId="0">
      <alignment horizontal="right" vertical="center"/>
    </xf>
    <xf numFmtId="178" fontId="7" fillId="4" borderId="1" applyAlignment="1" pivotButton="0" quotePrefix="0" xfId="0">
      <alignment horizontal="right" vertical="center"/>
    </xf>
    <xf numFmtId="49" fontId="7" fillId="4" borderId="1" applyAlignment="1" pivotButton="0" quotePrefix="0" xfId="0">
      <alignment horizontal="right" vertical="center"/>
    </xf>
    <xf numFmtId="164" fontId="7" fillId="0" borderId="1" pivotButton="0" quotePrefix="0" xfId="0"/>
    <xf numFmtId="0" fontId="10" fillId="0" borderId="1" pivotButton="0" quotePrefix="0" xfId="0"/>
    <xf numFmtId="0" fontId="9" fillId="0" borderId="1" pivotButton="0" quotePrefix="0" xfId="0"/>
    <xf numFmtId="164" fontId="14" fillId="2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9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172" fontId="5" fillId="0" borderId="1" applyAlignment="1" pivotButton="0" quotePrefix="0" xfId="0">
      <alignment horizontal="right" vertical="center"/>
    </xf>
    <xf numFmtId="0" fontId="9" fillId="8" borderId="0" pivotButton="0" quotePrefix="0" xfId="0"/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36" customWidth="1" min="3" max="3"/>
    <col width="38" customWidth="1" min="4" max="4"/>
    <col width="32" customWidth="1" min="5" max="5"/>
  </cols>
  <sheetData>
    <row r="1" ht="32" customHeight="1">
      <c r="A1" s="1" t="inlineStr">
        <is>
          <t>Atratus 2026 — Cálculos auditados del pitch</t>
        </is>
      </c>
    </row>
    <row r="2">
      <c r="A2" s="2" t="inlineStr">
        <is>
          <t>Uso interno · Equipo de 4 voces · Esumer · Negocios Digitales</t>
        </is>
      </c>
    </row>
    <row r="3">
      <c r="A3" s="3" t="inlineStr">
        <is>
          <t>VERSIÓN 3 · ROAS Fase 2 recalibrado con calculadora del usuario · 2026-05-13</t>
        </is>
      </c>
    </row>
    <row r="5" ht="28" customHeight="1">
      <c r="A5" s="4" t="inlineStr">
        <is>
          <t>¿QUÉ CAMBIÓ EN ESTA VERSIÓN (v3)?</t>
        </is>
      </c>
    </row>
    <row r="6" ht="22" customHeight="1">
      <c r="A6" s="5" t="inlineStr">
        <is>
          <t>·  Antes (v2): F2 blended 5.5x · Conversión 8x · Ascensión 10x — ALTO, no defendible.</t>
        </is>
      </c>
    </row>
    <row r="7" ht="22" customHeight="1">
      <c r="A7" s="5" t="inlineStr">
        <is>
          <t>·  Ahora (v3): F2 blended 4.83x · Presentación 2.5x · Evaluación 4.0x · Conversión 5.5x · Ascensión 7.0x — REALISTA.</t>
        </is>
      </c>
    </row>
    <row r="8" ht="22" customHeight="1">
      <c r="A8" s="5" t="inlineStr">
        <is>
          <t>·  Razón: validación con Calculadora_de_Presupuesto_Para_Anuncios_FB_IG.xlsx. Fórmula: ROAS Objetivo = 1 / (% margen invertible).</t>
        </is>
      </c>
    </row>
    <row r="9" ht="22" customHeight="1">
      <c r="A9" s="5" t="inlineStr">
        <is>
          <t>·  Impacto: F2 ingresos $110M → $96.5M · Total año 1 $296M → $282M · ROI 9.5x → 9.1x. Sigue siendo brutal pero defendible.</t>
        </is>
      </c>
    </row>
    <row r="10" ht="22" customHeight="1">
      <c r="A10" s="5" t="inlineStr">
        <is>
          <t>·  Ver Hoja 12 para la validación completa con la calculadora.</t>
        </is>
      </c>
    </row>
    <row r="12" ht="28" customHeight="1">
      <c r="A12" s="4" t="inlineStr">
        <is>
          <t>¿QUÉ ES ESTE ARCHIVO?</t>
        </is>
      </c>
    </row>
    <row r="13" ht="22" customHeight="1">
      <c r="A13" s="5" t="inlineStr">
        <is>
          <t>·  Es el desglose contable y matemático de TODO lo que dice el pitch deck Atratus.</t>
        </is>
      </c>
    </row>
    <row r="14" ht="22" customHeight="1">
      <c r="A14" s="5" t="inlineStr">
        <is>
          <t>·  Cada cifra tiene su fórmula visible y su explicación en lenguaje normal.</t>
        </is>
      </c>
    </row>
    <row r="16" ht="28" customHeight="1">
      <c r="A16" s="4" t="inlineStr">
        <is>
          <t>REGLA DEL EMBUDO (TOFU · MOFU · BOFU)</t>
        </is>
      </c>
    </row>
    <row r="17" ht="22" customHeight="1">
      <c r="A17" s="5" t="inlineStr">
        <is>
          <t>·  TOFU · Audiencia FRÍA · ROAS bajo. Función: SEMBRAR · construir pool.</t>
        </is>
      </c>
    </row>
    <row r="18" ht="22" customHeight="1">
      <c r="A18" s="5" t="inlineStr">
        <is>
          <t>·  MOFU · Audiencia TIBIA · ROAS medio. Función: EDUCAR · captar leads.</t>
        </is>
      </c>
    </row>
    <row r="19" ht="22" customHeight="1">
      <c r="A19" s="5" t="inlineStr">
        <is>
          <t>·  BOFU · Audiencia CALIENTE · ROAS alto. Función: COSECHAR · cerrar venta.</t>
        </is>
      </c>
    </row>
    <row r="20" ht="22" customHeight="1">
      <c r="A20" s="5" t="inlineStr">
        <is>
          <t>·  Las 3 fases NO compiten — se alimentan.</t>
        </is>
      </c>
    </row>
    <row r="22" ht="28" customHeight="1">
      <c r="A22" s="4" t="inlineStr">
        <is>
          <t>FÓRMULA MAESTRA DE ROAS OBJETIVO</t>
        </is>
      </c>
    </row>
    <row r="23" ht="22" customHeight="1">
      <c r="A23" s="5" t="inlineStr">
        <is>
          <t>·  ROAS Objetivo = 1 / (% margen que estás dispuesto a invertir por venta)</t>
        </is>
      </c>
    </row>
    <row r="24" ht="22" customHeight="1">
      <c r="A24" s="5" t="inlineStr">
        <is>
          <t>·  Si invertís el 20% del ticket en adquisición → ROAS mínimo aceptable = 5.0x</t>
        </is>
      </c>
    </row>
    <row r="25" ht="22" customHeight="1">
      <c r="A25" s="5" t="inlineStr">
        <is>
          <t>·  Si invertís el 14% del ticket (base ya conquistada) → ROAS = 7.1x</t>
        </is>
      </c>
    </row>
    <row r="26" ht="22" customHeight="1">
      <c r="A26" s="5" t="inlineStr">
        <is>
          <t>·  Fuente: Calculadora_de_Presupuesto_Para_Anuncios_FB_IG.xlsx (input del usuario).</t>
        </is>
      </c>
    </row>
    <row r="28" ht="28" customHeight="1">
      <c r="A28" s="6" t="inlineStr">
        <is>
          <t>FUENTES EXTERNAS CITADAS</t>
        </is>
      </c>
    </row>
    <row r="29" ht="22" customHeight="1">
      <c r="A29" s="5" t="inlineStr">
        <is>
          <t>·  Bluecore Customer Growth Benchmarks Report 2024.</t>
        </is>
      </c>
    </row>
    <row r="30" ht="22" customHeight="1">
      <c r="A30" s="5" t="inlineStr">
        <is>
          <t>·  Ubersuggest + Google Trends Colombia.</t>
        </is>
      </c>
    </row>
    <row r="31" ht="22" customHeight="1">
      <c r="A31" s="5" t="inlineStr">
        <is>
          <t>·  atratuscolombia.com/collections/all (verificado 2026-05-13).</t>
        </is>
      </c>
    </row>
    <row r="32" ht="22" customHeight="1">
      <c r="A32" s="5" t="inlineStr">
        <is>
          <t>·  eBird Global Big Day · Cornell Lab of Ornithology.</t>
        </is>
      </c>
    </row>
    <row r="33" ht="22" customHeight="1">
      <c r="A33" s="5" t="inlineStr">
        <is>
          <t>·  Calculadora_de_Presupuesto_Para_Anuncios_FB_IG.xlsx (input del usuario).</t>
        </is>
      </c>
    </row>
  </sheetData>
  <mergeCells count="25">
    <mergeCell ref="A30:E30"/>
    <mergeCell ref="A24:E24"/>
    <mergeCell ref="A6:E6"/>
    <mergeCell ref="A16:E16"/>
    <mergeCell ref="A7:E7"/>
    <mergeCell ref="A25:E25"/>
    <mergeCell ref="A18:E18"/>
    <mergeCell ref="A12:E12"/>
    <mergeCell ref="A26:E26"/>
    <mergeCell ref="A33:E33"/>
    <mergeCell ref="A5:E5"/>
    <mergeCell ref="A23:E23"/>
    <mergeCell ref="A32:E32"/>
    <mergeCell ref="A14:E14"/>
    <mergeCell ref="A8:E8"/>
    <mergeCell ref="A22:E22"/>
    <mergeCell ref="A17:E17"/>
    <mergeCell ref="A29:E29"/>
    <mergeCell ref="A20:E20"/>
    <mergeCell ref="A10:E10"/>
    <mergeCell ref="A28:E28"/>
    <mergeCell ref="A19:E19"/>
    <mergeCell ref="A13:E13"/>
    <mergeCell ref="A31:E3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36" customWidth="1" min="3" max="3"/>
    <col width="38" customWidth="1" min="4" max="4"/>
    <col width="32" customWidth="1" min="5" max="5"/>
  </cols>
  <sheetData>
    <row r="1">
      <c r="A1" s="1" t="inlineStr">
        <is>
          <t>Precios reales del catálogo Atratus</t>
        </is>
      </c>
    </row>
    <row r="2">
      <c r="A2" s="2" t="inlineStr">
        <is>
          <t>Verificados en atratuscolombia.com/collections/all · 2026-05-13</t>
        </is>
      </c>
    </row>
    <row r="4">
      <c r="A4" s="7" t="inlineStr">
        <is>
          <t>Producto</t>
        </is>
      </c>
      <c r="B4" s="7" t="inlineStr">
        <is>
          <t>Precio COP</t>
        </is>
      </c>
      <c r="C4" s="7" t="inlineStr">
        <is>
          <t>Categoría</t>
        </is>
      </c>
      <c r="D4" s="7" t="inlineStr">
        <is>
          <t>Notas</t>
        </is>
      </c>
      <c r="E4" s="7" t="inlineStr"/>
    </row>
    <row r="5">
      <c r="A5" s="8" t="inlineStr">
        <is>
          <t>Polar de Páramo — All Black Unisex</t>
        </is>
      </c>
      <c r="B5" s="9" t="n">
        <v>199900</v>
      </c>
      <c r="C5" s="8" t="inlineStr">
        <is>
          <t>Polar</t>
        </is>
      </c>
      <c r="D5" s="10" t="inlineStr">
        <is>
          <t>Capa térmica frío</t>
        </is>
      </c>
      <c r="E5" s="11" t="n"/>
    </row>
    <row r="6">
      <c r="A6" s="8" t="inlineStr">
        <is>
          <t>Polar de Páramo — Deep Blue Unisex</t>
        </is>
      </c>
      <c r="B6" s="9" t="n">
        <v>199900</v>
      </c>
      <c r="C6" s="8" t="inlineStr">
        <is>
          <t>Polar</t>
        </is>
      </c>
      <c r="D6" s="10" t="inlineStr">
        <is>
          <t>Variante azul</t>
        </is>
      </c>
      <c r="E6" s="11" t="n"/>
    </row>
    <row r="7">
      <c r="A7" s="8" t="inlineStr">
        <is>
          <t>Pantalón Rupornis Hombre</t>
        </is>
      </c>
      <c r="B7" s="9" t="n">
        <v>210000</v>
      </c>
      <c r="C7" s="8" t="inlineStr">
        <is>
          <t>Pantalón</t>
        </is>
      </c>
      <c r="D7" s="10" t="inlineStr">
        <is>
          <t>Producto Senderista</t>
        </is>
      </c>
      <c r="E7" s="11" t="n"/>
    </row>
    <row r="8">
      <c r="A8" s="8" t="inlineStr">
        <is>
          <t>Pantalón Rupornis Mujer</t>
        </is>
      </c>
      <c r="B8" s="9" t="n">
        <v>210000</v>
      </c>
      <c r="C8" s="8" t="inlineStr">
        <is>
          <t>Pantalón</t>
        </is>
      </c>
      <c r="D8" s="10" t="inlineStr">
        <is>
          <t>Producto Senderista</t>
        </is>
      </c>
      <c r="E8" s="11" t="n"/>
    </row>
    <row r="9">
      <c r="A9" s="8" t="inlineStr">
        <is>
          <t>Chaqueta Espeletia — Negro Unisex</t>
        </is>
      </c>
      <c r="B9" s="9" t="n">
        <v>210000</v>
      </c>
      <c r="C9" s="8" t="inlineStr">
        <is>
          <t>Chaqueta</t>
        </is>
      </c>
      <c r="D9" s="10" t="inlineStr">
        <is>
          <t>Estrella BOFU</t>
        </is>
      </c>
      <c r="E9" s="11" t="n"/>
    </row>
    <row r="10">
      <c r="A10" s="8" t="inlineStr">
        <is>
          <t>Chaqueta Espeletia — Seagreen</t>
        </is>
      </c>
      <c r="B10" s="9" t="n">
        <v>210000</v>
      </c>
      <c r="C10" s="8" t="inlineStr">
        <is>
          <t>Chaqueta</t>
        </is>
      </c>
      <c r="D10" s="10" t="inlineStr">
        <is>
          <t>Variante color</t>
        </is>
      </c>
      <c r="E10" s="11" t="n"/>
    </row>
    <row r="11">
      <c r="A11" s="8" t="inlineStr">
        <is>
          <t>Chaqueta Espeletia — Rojo</t>
        </is>
      </c>
      <c r="B11" s="9" t="n">
        <v>210000</v>
      </c>
      <c r="C11" s="8" t="inlineStr">
        <is>
          <t>Chaqueta</t>
        </is>
      </c>
      <c r="D11" s="10" t="inlineStr">
        <is>
          <t>Variante color</t>
        </is>
      </c>
      <c r="E11" s="11" t="n"/>
    </row>
    <row r="12">
      <c r="A12" s="8" t="inlineStr">
        <is>
          <t>Camibuso Víbora Verde Hombre</t>
        </is>
      </c>
      <c r="B12" s="9" t="n">
        <v>159000</v>
      </c>
      <c r="C12" s="8" t="inlineStr">
        <is>
          <t>Camibuso</t>
        </is>
      </c>
      <c r="D12" s="10" t="inlineStr">
        <is>
          <t>Cross-sell</t>
        </is>
      </c>
      <c r="E12" s="11" t="n"/>
    </row>
    <row r="13">
      <c r="A13" s="8" t="inlineStr">
        <is>
          <t>Camibuso Víbora Verde Mujer</t>
        </is>
      </c>
      <c r="B13" s="9" t="n">
        <v>159000</v>
      </c>
      <c r="C13" s="8" t="inlineStr">
        <is>
          <t>Camibuso</t>
        </is>
      </c>
      <c r="D13" s="10" t="inlineStr">
        <is>
          <t>Cross-sell</t>
        </is>
      </c>
      <c r="E13" s="11" t="n"/>
    </row>
    <row r="14">
      <c r="A14" s="8" t="inlineStr">
        <is>
          <t>Camibuso Pantera Hombre</t>
        </is>
      </c>
      <c r="B14" s="9" t="n">
        <v>159000</v>
      </c>
      <c r="C14" s="8" t="inlineStr">
        <is>
          <t>Camibuso</t>
        </is>
      </c>
      <c r="D14" s="10" t="inlineStr">
        <is>
          <t>Variante visual</t>
        </is>
      </c>
      <c r="E14" s="11" t="n"/>
    </row>
    <row r="15">
      <c r="A15" s="8" t="inlineStr">
        <is>
          <t>Camisa Athene Verde Militar</t>
        </is>
      </c>
      <c r="B15" s="9" t="n">
        <v>215000</v>
      </c>
      <c r="C15" s="8" t="inlineStr">
        <is>
          <t>Camisa</t>
        </is>
      </c>
      <c r="D15" s="10" t="inlineStr">
        <is>
          <t>Producto Aviturista</t>
        </is>
      </c>
      <c r="E15" s="11" t="n"/>
    </row>
    <row r="17">
      <c r="A17" s="12" t="inlineStr">
        <is>
          <t>Precio MÁS BARATO</t>
        </is>
      </c>
      <c r="B17" s="9" t="n">
        <v>159000</v>
      </c>
      <c r="C17" s="13">
        <f>MIN(B5:B15)</f>
        <v/>
      </c>
      <c r="D17" s="14" t="inlineStr">
        <is>
          <t>Piso del ticket</t>
        </is>
      </c>
      <c r="E17" s="11" t="n"/>
    </row>
    <row r="18">
      <c r="A18" s="12" t="inlineStr">
        <is>
          <t>Precio MÁS CARO</t>
        </is>
      </c>
      <c r="B18" s="9" t="n">
        <v>215000</v>
      </c>
      <c r="C18" s="13">
        <f>MAX(B5:B15)</f>
        <v/>
      </c>
      <c r="D18" s="14" t="inlineStr">
        <is>
          <t>Techo del ticket</t>
        </is>
      </c>
      <c r="E18" s="11" t="n"/>
    </row>
    <row r="19">
      <c r="A19" s="12" t="inlineStr">
        <is>
          <t>Precio PROMEDIO</t>
        </is>
      </c>
      <c r="B19" s="9" t="n">
        <v>193000</v>
      </c>
      <c r="C19" s="13">
        <f>PROMEDIO(B5:B15)</f>
        <v/>
      </c>
      <c r="D19" s="14" t="inlineStr">
        <is>
          <t>Punto de referencia AOV</t>
        </is>
      </c>
      <c r="E19" s="11" t="n"/>
    </row>
  </sheetData>
  <mergeCells count="14">
    <mergeCell ref="D8:E8"/>
    <mergeCell ref="D6:E6"/>
    <mergeCell ref="D7:E7"/>
    <mergeCell ref="D10:E10"/>
    <mergeCell ref="D15:E15"/>
    <mergeCell ref="D19:E19"/>
    <mergeCell ref="D11:E11"/>
    <mergeCell ref="D13:E13"/>
    <mergeCell ref="D17:E17"/>
    <mergeCell ref="D5:E5"/>
    <mergeCell ref="D14:E14"/>
    <mergeCell ref="D18:E18"/>
    <mergeCell ref="D9:E9"/>
    <mergeCell ref="D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36" customWidth="1" min="3" max="3"/>
    <col width="38" customWidth="1" min="4" max="4"/>
    <col width="32" customWidth="1" min="5" max="5"/>
  </cols>
  <sheetData>
    <row r="1">
      <c r="A1" s="1" t="inlineStr">
        <is>
          <t>Línea base actual de Atratus</t>
        </is>
      </c>
    </row>
    <row r="2">
      <c r="A2" s="2" t="inlineStr">
        <is>
          <t>Lo que existe HOY · sin el sistema propuesto</t>
        </is>
      </c>
    </row>
    <row r="4" ht="28" customHeight="1">
      <c r="A4" s="4" t="inlineStr">
        <is>
          <t>BASE Y COMPORTAMIENTO</t>
        </is>
      </c>
    </row>
    <row r="5">
      <c r="A5" s="12" t="inlineStr">
        <is>
          <t>Base histórica de clientes</t>
        </is>
      </c>
      <c r="B5" s="15" t="n">
        <v>5000</v>
      </c>
      <c r="C5" s="13" t="inlineStr">
        <is>
          <t>Dato académico Clase 10</t>
        </is>
      </c>
      <c r="D5" s="14" t="inlineStr">
        <is>
          <t>5.000 personas.</t>
        </is>
      </c>
      <c r="E5" s="11" t="n"/>
    </row>
    <row r="6">
      <c r="A6" s="12" t="inlineStr">
        <is>
          <t>Frecuencia compra anual</t>
        </is>
      </c>
      <c r="B6" s="16" t="n">
        <v>1.1</v>
      </c>
      <c r="C6" s="13" t="inlineStr">
        <is>
          <t>Dato académico</t>
        </is>
      </c>
      <c r="D6" s="14" t="inlineStr">
        <is>
          <t>1.1 veces/año.</t>
        </is>
      </c>
      <c r="E6" s="11" t="n"/>
    </row>
    <row r="7">
      <c r="A7" s="12" t="inlineStr">
        <is>
          <t>Churn rate anual</t>
        </is>
      </c>
      <c r="B7" s="17" t="n">
        <v>0.7</v>
      </c>
      <c r="C7" s="13" t="inlineStr">
        <is>
          <t>Dato académico · validado Bluecore</t>
        </is>
      </c>
      <c r="D7" s="14" t="inlineStr">
        <is>
          <t>Atratus mejor que sector 78.8%.</t>
        </is>
      </c>
      <c r="E7" s="11" t="n"/>
    </row>
    <row r="8">
      <c r="A8" s="12" t="inlineStr">
        <is>
          <t>Seguidores Instagram</t>
        </is>
      </c>
      <c r="B8" s="15" t="n">
        <v>78000</v>
      </c>
      <c r="C8" s="13" t="inlineStr">
        <is>
          <t>@atratuscolombia</t>
        </is>
      </c>
      <c r="D8" s="14" t="inlineStr">
        <is>
          <t>Activo orgánico intransferible.</t>
        </is>
      </c>
      <c r="E8" s="11" t="n"/>
    </row>
    <row r="10" ht="28" customHeight="1">
      <c r="A10" s="18" t="inlineStr">
        <is>
          <t>AOV / TICKET AUDITADO</t>
        </is>
      </c>
    </row>
    <row r="11">
      <c r="A11" s="19" t="inlineStr">
        <is>
          <t>AOV docs originales (INFLADO)</t>
        </is>
      </c>
      <c r="B11" s="20" t="n">
        <v>340000</v>
      </c>
      <c r="C11" s="13" t="inlineStr">
        <is>
          <t>Dato académico Clase 10 (NO USAR)</t>
        </is>
      </c>
      <c r="D11" s="14" t="inlineStr">
        <is>
          <t>Matemáticamente imposible.</t>
        </is>
      </c>
      <c r="E11" s="11" t="n"/>
    </row>
    <row r="12">
      <c r="A12" s="21" t="inlineStr">
        <is>
          <t>AOV real (1 unidad × precio promedio)</t>
        </is>
      </c>
      <c r="B12" s="9" t="n">
        <v>200000</v>
      </c>
      <c r="C12" s="13" t="inlineStr">
        <is>
          <t>PROMEDIO precios × 1u/carrito</t>
        </is>
      </c>
      <c r="D12" s="14" t="inlineStr">
        <is>
          <t>Cifra usada en todo el modelo.</t>
        </is>
      </c>
      <c r="E12" s="11" t="n"/>
    </row>
    <row r="13">
      <c r="A13" s="21" t="inlineStr">
        <is>
          <t>Valor por cliente (LTV simple)</t>
        </is>
      </c>
      <c r="B13" s="9" t="n">
        <v>220000</v>
      </c>
      <c r="C13" s="13">
        <f> AOV × Freq = 200K × 1.1</f>
        <v/>
      </c>
      <c r="D13" s="14" t="inlineStr">
        <is>
          <t>Cada cliente gasta ~$220K en TODA su vida útil con la marca.</t>
        </is>
      </c>
      <c r="E13" s="11" t="n"/>
    </row>
    <row r="15" ht="28" customHeight="1">
      <c r="A15" s="6" t="inlineStr">
        <is>
          <t>INGRESOS BASE · escenario actual</t>
        </is>
      </c>
    </row>
    <row r="16">
      <c r="A16" s="12" t="inlineStr">
        <is>
          <t>Compras totales año en base</t>
        </is>
      </c>
      <c r="B16" s="22" t="n">
        <v>5500</v>
      </c>
      <c r="C16" s="13">
        <f> 5.000 × 1.1</f>
        <v/>
      </c>
      <c r="D16" s="14" t="inlineStr">
        <is>
          <t>Si nadie cambia comportamiento.</t>
        </is>
      </c>
      <c r="E16" s="11" t="n"/>
    </row>
    <row r="17">
      <c r="A17" s="12" t="inlineStr">
        <is>
          <t>Ingresos anuales línea base</t>
        </is>
      </c>
      <c r="B17" s="9" t="n">
        <v>1100000000</v>
      </c>
      <c r="C17" s="13">
        <f> 5.500 × $200K</f>
        <v/>
      </c>
      <c r="D17" s="14" t="inlineStr">
        <is>
          <t>~$1.100M COP/año sin hacer nada.</t>
        </is>
      </c>
      <c r="E17" s="11" t="n"/>
    </row>
  </sheetData>
  <mergeCells count="12">
    <mergeCell ref="D8:E8"/>
    <mergeCell ref="D6:E6"/>
    <mergeCell ref="D16:E16"/>
    <mergeCell ref="A4:E4"/>
    <mergeCell ref="D7:E7"/>
    <mergeCell ref="A15:E15"/>
    <mergeCell ref="A10:E10"/>
    <mergeCell ref="D11:E11"/>
    <mergeCell ref="D13:E13"/>
    <mergeCell ref="D5:E5"/>
    <mergeCell ref="D17:E17"/>
    <mergeCell ref="D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36" customWidth="1" min="3" max="3"/>
    <col width="38" customWidth="1" min="4" max="4"/>
    <col width="32" customWidth="1" min="5" max="5"/>
  </cols>
  <sheetData>
    <row r="1">
      <c r="A1" s="1" t="inlineStr">
        <is>
          <t>Benchmark del sector outdoor — Bluecore 2024</t>
        </is>
      </c>
    </row>
    <row r="2">
      <c r="A2" s="2" t="inlineStr">
        <is>
          <t>Fuente: Bluecore Customer Growth Benchmarks Report 2024 · sobre 100+ retailers</t>
        </is>
      </c>
    </row>
    <row r="4" ht="28" customHeight="1">
      <c r="A4" s="6" t="inlineStr">
        <is>
          <t>BENCHMARKS DEL SECTOR</t>
        </is>
      </c>
    </row>
    <row r="5">
      <c r="A5" s="12" t="inlineStr">
        <is>
          <t>Sporting Goods &amp; Outdoor</t>
        </is>
      </c>
      <c r="B5" s="17" t="n">
        <v>0.212</v>
      </c>
      <c r="C5" s="13" t="inlineStr">
        <is>
          <t>Bluecore 2024</t>
        </is>
      </c>
      <c r="D5" s="14" t="inlineStr">
        <is>
          <t>Solo 21.2% repite = churn 78.8%.</t>
        </is>
      </c>
      <c r="E5" s="11" t="n"/>
    </row>
    <row r="6">
      <c r="A6" s="12" t="inlineStr">
        <is>
          <t>Apparel</t>
        </is>
      </c>
      <c r="B6" s="17" t="n">
        <v>0.202</v>
      </c>
      <c r="C6" s="13" t="inlineStr">
        <is>
          <t>Bluecore 2024</t>
        </is>
      </c>
      <c r="D6" s="14" t="inlineStr">
        <is>
          <t>20.2% repite.</t>
        </is>
      </c>
      <c r="E6" s="11" t="n"/>
    </row>
    <row r="7">
      <c r="A7" s="12" t="inlineStr">
        <is>
          <t>Ecommerce general</t>
        </is>
      </c>
      <c r="B7" s="17" t="n">
        <v>0.165</v>
      </c>
      <c r="C7" s="13" t="inlineStr">
        <is>
          <t>Bluecore 2024</t>
        </is>
      </c>
      <c r="D7" s="14" t="inlineStr">
        <is>
          <t>Promedio cross-vertical.</t>
        </is>
      </c>
      <c r="E7" s="11" t="n"/>
    </row>
    <row r="8">
      <c r="A8" s="21" t="inlineStr">
        <is>
          <t>Atratus</t>
        </is>
      </c>
      <c r="B8" s="17" t="n">
        <v>0.3</v>
      </c>
      <c r="C8" s="13">
        <f> 1 - 0.70</f>
        <v/>
      </c>
      <c r="D8" s="14" t="inlineStr">
        <is>
          <t>Mejor que el sector pero con margen enorme.</t>
        </is>
      </c>
      <c r="E8" s="11" t="n"/>
    </row>
    <row r="10" ht="28" customHeight="1">
      <c r="A10" s="23" t="inlineStr">
        <is>
          <t>INSIGHTS CLAVE</t>
        </is>
      </c>
    </row>
    <row r="11" ht="22" customHeight="1">
      <c r="A11" s="5" t="inlineStr">
        <is>
          <t>·  Active buyers gastan 69.2% más que new buyers — Bluecore 2024.</t>
        </is>
      </c>
    </row>
    <row r="12" ht="22" customHeight="1">
      <c r="A12" s="5" t="inlineStr">
        <is>
          <t>·  Active buyers hacen 57.6% más órdenes — Bluecore 2024.</t>
        </is>
      </c>
    </row>
    <row r="13" ht="22" customHeight="1">
      <c r="A13" s="5" t="inlineStr">
        <is>
          <t>·  Retailers con ID rate &gt;40% tienen repeat rate 53% mayor.</t>
        </is>
      </c>
    </row>
    <row r="14" ht="22" customHeight="1">
      <c r="A14" s="5" t="inlineStr">
        <is>
          <t>·  Customer-movement leaders: 59% retention 3 años · channel-led: 22%.</t>
        </is>
      </c>
    </row>
  </sheetData>
  <mergeCells count="10">
    <mergeCell ref="D8:E8"/>
    <mergeCell ref="D6:E6"/>
    <mergeCell ref="A12:E12"/>
    <mergeCell ref="A4:E4"/>
    <mergeCell ref="D7:E7"/>
    <mergeCell ref="A10:E10"/>
    <mergeCell ref="D5:E5"/>
    <mergeCell ref="A11:E11"/>
    <mergeCell ref="A13:E13"/>
    <mergeCell ref="A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36" customWidth="1" min="3" max="3"/>
    <col width="38" customWidth="1" min="4" max="4"/>
    <col width="32" customWidth="1" min="5" max="5"/>
  </cols>
  <sheetData>
    <row r="1">
      <c r="A1" s="1" t="inlineStr">
        <is>
          <t>SEO — Volúmenes y dificultades verificadas</t>
        </is>
      </c>
    </row>
    <row r="2">
      <c r="A2" s="2" t="inlineStr">
        <is>
          <t>Fuente: Ubersuggest + Google Trends Colombia · Trabajo T5</t>
        </is>
      </c>
    </row>
    <row r="4">
      <c r="A4" s="7" t="inlineStr">
        <is>
          <t>Keyword</t>
        </is>
      </c>
      <c r="B4" s="7" t="inlineStr">
        <is>
          <t>Vol/mes</t>
        </is>
      </c>
      <c r="C4" s="7" t="inlineStr">
        <is>
          <t>SD</t>
        </is>
      </c>
      <c r="D4" s="7" t="inlineStr">
        <is>
          <t>Intención</t>
        </is>
      </c>
      <c r="E4" s="7" t="inlineStr">
        <is>
          <t>Notas</t>
        </is>
      </c>
    </row>
    <row r="5">
      <c r="A5" s="24" t="inlineStr">
        <is>
          <t>chaqueta impermeable</t>
        </is>
      </c>
      <c r="B5" s="25" t="n">
        <v>4400</v>
      </c>
      <c r="C5" s="24" t="n">
        <v>11</v>
      </c>
      <c r="D5" s="24" t="inlineStr">
        <is>
          <t>Comercial</t>
        </is>
      </c>
      <c r="E5" s="14" t="inlineStr">
        <is>
          <t>PILAR · live en atratus.vercel.app</t>
        </is>
      </c>
    </row>
    <row r="6">
      <c r="A6" s="24" t="inlineStr">
        <is>
          <t>chaqueta impermeable mujer</t>
        </is>
      </c>
      <c r="B6" s="25" t="n">
        <v>1900</v>
      </c>
      <c r="C6" s="24" t="n">
        <v>13</v>
      </c>
      <c r="D6" s="24" t="inlineStr">
        <is>
          <t>Comercial</t>
        </is>
      </c>
      <c r="E6" s="14" t="inlineStr">
        <is>
          <t>Cluster</t>
        </is>
      </c>
    </row>
    <row r="7">
      <c r="A7" s="24" t="inlineStr">
        <is>
          <t>chaqueta impermeable hombre</t>
        </is>
      </c>
      <c r="B7" s="25" t="n">
        <v>1600</v>
      </c>
      <c r="C7" s="24" t="n">
        <v>11</v>
      </c>
      <c r="D7" s="24" t="inlineStr">
        <is>
          <t>Comercial</t>
        </is>
      </c>
      <c r="E7" s="14" t="inlineStr">
        <is>
          <t>Cluster</t>
        </is>
      </c>
    </row>
    <row r="8">
      <c r="A8" s="24" t="inlineStr">
        <is>
          <t>botas de senderismo</t>
        </is>
      </c>
      <c r="B8" s="25" t="n">
        <v>720</v>
      </c>
      <c r="C8" s="24" t="n">
        <v>11</v>
      </c>
      <c r="D8" s="24" t="inlineStr">
        <is>
          <t>Comercial</t>
        </is>
      </c>
      <c r="E8" s="14" t="inlineStr">
        <is>
          <t>Producto complementario</t>
        </is>
      </c>
    </row>
    <row r="9">
      <c r="A9" s="24" t="inlineStr">
        <is>
          <t>pantalones de senderismo</t>
        </is>
      </c>
      <c r="B9" s="25" t="n">
        <v>260</v>
      </c>
      <c r="C9" s="24" t="n">
        <v>13</v>
      </c>
      <c r="D9" s="24" t="inlineStr">
        <is>
          <t>Comercial</t>
        </is>
      </c>
      <c r="E9" s="14" t="inlineStr">
        <is>
          <t>Core</t>
        </is>
      </c>
    </row>
    <row r="10">
      <c r="A10" s="24" t="inlineStr">
        <is>
          <t>qué es senderismo</t>
        </is>
      </c>
      <c r="B10" s="25" t="n">
        <v>1300</v>
      </c>
      <c r="C10" s="24" t="n">
        <v>29</v>
      </c>
      <c r="D10" s="24" t="inlineStr">
        <is>
          <t>Informac.</t>
        </is>
      </c>
      <c r="E10" s="14" t="inlineStr">
        <is>
          <t>TOFU</t>
        </is>
      </c>
    </row>
    <row r="11">
      <c r="A11" s="24" t="inlineStr">
        <is>
          <t>ropa avistamiento aves</t>
        </is>
      </c>
      <c r="B11" s="25" t="n">
        <v>0</v>
      </c>
      <c r="C11" s="24" t="inlineStr">
        <is>
          <t>—</t>
        </is>
      </c>
      <c r="D11" s="24" t="inlineStr">
        <is>
          <t>Comercial</t>
        </is>
      </c>
      <c r="E11" s="14" t="inlineStr">
        <is>
          <t>BLUE OCEAN · 0 competencia</t>
        </is>
      </c>
    </row>
    <row r="13">
      <c r="A13" s="21" t="inlineStr">
        <is>
          <t>Total cluster verificado</t>
        </is>
      </c>
      <c r="B13" s="26" t="n">
        <v>10180</v>
      </c>
      <c r="C13" s="13">
        <f>SUMA(B5:B11)</f>
        <v/>
      </c>
      <c r="D13" s="14" t="inlineStr">
        <is>
          <t>&gt; 10K búsquedas/mes en el cluster.</t>
        </is>
      </c>
      <c r="E13" s="11" t="n"/>
    </row>
    <row r="14">
      <c r="A14" s="12" t="inlineStr">
        <is>
          <t>Colombia · especies de aves</t>
        </is>
      </c>
      <c r="B14" s="27" t="n">
        <v>1950</v>
      </c>
      <c r="C14" s="13" t="inlineStr">
        <is>
          <t>eBird · Cornell Lab</t>
        </is>
      </c>
      <c r="D14" s="14" t="inlineStr">
        <is>
          <t>#1 mundial · justifica Blue Ocean.</t>
        </is>
      </c>
      <c r="E14" s="11" t="n"/>
    </row>
  </sheetData>
  <mergeCells count="2">
    <mergeCell ref="D14:E14"/>
    <mergeCell ref="D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36" customWidth="1" min="3" max="3"/>
    <col width="38" customWidth="1" min="4" max="4"/>
    <col width="32" customWidth="1" min="5" max="5"/>
  </cols>
  <sheetData>
    <row r="1">
      <c r="A1" s="1" t="inlineStr">
        <is>
          <t>Pauta Fase 1 — 2 meses iniciales</t>
        </is>
      </c>
    </row>
    <row r="2">
      <c r="A2" s="2" t="inlineStr">
        <is>
          <t>ROAS realistas por temperatura de audiencia · escenario base</t>
        </is>
      </c>
    </row>
    <row r="4">
      <c r="A4" s="7" t="inlineStr">
        <is>
          <t>Campaña</t>
        </is>
      </c>
      <c r="B4" s="7" t="inlineStr">
        <is>
          <t>Inversión COP</t>
        </is>
      </c>
      <c r="C4" s="7" t="inlineStr">
        <is>
          <t>% inv.</t>
        </is>
      </c>
      <c r="D4" s="7" t="inlineStr">
        <is>
          <t>ROAS realista</t>
        </is>
      </c>
      <c r="E4" s="7" t="inlineStr">
        <is>
          <t>Ingresos directos COP</t>
        </is>
      </c>
    </row>
    <row r="5">
      <c r="A5" s="24" t="inlineStr">
        <is>
          <t>BOFU · Chaqueta · Lluvias (Google Search)</t>
        </is>
      </c>
      <c r="B5" s="28" t="n">
        <v>3000000</v>
      </c>
      <c r="C5" s="29" t="n">
        <v>0.5</v>
      </c>
      <c r="D5" s="30" t="n">
        <v>5.5</v>
      </c>
      <c r="E5" s="28" t="n">
        <v>16500000</v>
      </c>
    </row>
    <row r="6">
      <c r="A6" s="24" t="inlineStr">
        <is>
          <t>MOFU · Aviturismo · Big Day (Meta Ads)</t>
        </is>
      </c>
      <c r="B6" s="28" t="n">
        <v>1800000</v>
      </c>
      <c r="C6" s="29" t="n">
        <v>0.3</v>
      </c>
      <c r="D6" s="30" t="n">
        <v>2.5</v>
      </c>
      <c r="E6" s="28" t="n">
        <v>4500000</v>
      </c>
    </row>
    <row r="7">
      <c r="A7" s="24" t="inlineStr">
        <is>
          <t>TOFU · Storytelling Toña y Mate (Reels)</t>
        </is>
      </c>
      <c r="B7" s="28" t="n">
        <v>1200000</v>
      </c>
      <c r="C7" s="29" t="n">
        <v>0.2</v>
      </c>
      <c r="D7" s="30" t="n">
        <v>1.2</v>
      </c>
      <c r="E7" s="28" t="n">
        <v>1440000</v>
      </c>
    </row>
    <row r="8">
      <c r="A8" s="31" t="inlineStr">
        <is>
          <t>TOTAL FASE 1</t>
        </is>
      </c>
      <c r="B8" s="32" t="n">
        <v>6000000</v>
      </c>
      <c r="C8" s="33" t="n">
        <v>1</v>
      </c>
      <c r="D8" s="34" t="n">
        <v>3.74</v>
      </c>
      <c r="E8" s="32" t="n">
        <v>22440000</v>
      </c>
    </row>
    <row r="10" ht="28" customHeight="1">
      <c r="A10" s="6" t="inlineStr">
        <is>
          <t>POR QUÉ ROAS DISTINTOS POR FASE</t>
        </is>
      </c>
    </row>
    <row r="11" ht="22" customHeight="1">
      <c r="A11" s="5" t="inlineStr">
        <is>
          <t>·  BOFU 5.5x · Audiencia busca el producto en Google → atender, no convencer.</t>
        </is>
      </c>
    </row>
    <row r="12" ht="22" customHeight="1">
      <c r="A12" s="5" t="inlineStr">
        <is>
          <t>·  MOFU 2.5x · Audiencia se identifica pero no decide. Lead magnet + emails primero.</t>
        </is>
      </c>
    </row>
    <row r="13" ht="22" customHeight="1">
      <c r="A13" s="5" t="inlineStr">
        <is>
          <t>·  TOFU 1.2x · Audiencia NO conoce la marca. Función: construir pool para Fase 2.</t>
        </is>
      </c>
    </row>
    <row r="15">
      <c r="A15" s="21" t="inlineStr">
        <is>
          <t>ROAS Blended F1</t>
        </is>
      </c>
      <c r="B15" s="35" t="n">
        <v>3.74</v>
      </c>
      <c r="C15" s="13">
        <f> 22.440.000 / 6.000.000</f>
        <v/>
      </c>
      <c r="D15" s="14" t="inlineStr">
        <is>
          <t>Cada $1 COP F1 devuelve $3.74.</t>
        </is>
      </c>
      <c r="E15" s="11" t="n"/>
    </row>
    <row r="16">
      <c r="A16" s="12" t="inlineStr">
        <is>
          <t>Órdenes F1</t>
        </is>
      </c>
      <c r="B16" s="36" t="n">
        <v>112</v>
      </c>
      <c r="C16" s="13">
        <f> Ingresos / $200K</f>
        <v/>
      </c>
      <c r="D16" s="14" t="inlineStr">
        <is>
          <t>Aprox 112 órdenes en 2 meses.</t>
        </is>
      </c>
      <c r="E16" s="11" t="n"/>
    </row>
    <row r="18" ht="28" customHeight="1">
      <c r="A18" s="37" t="inlineStr">
        <is>
          <t>EL VALOR INVISIBLE DEL TOFU</t>
        </is>
      </c>
    </row>
    <row r="19" ht="24" customHeight="1">
      <c r="A19" s="38" t="inlineStr">
        <is>
          <t>·  12.000 visitantes web cualificados.</t>
        </is>
      </c>
    </row>
    <row r="20" ht="24" customHeight="1">
      <c r="A20" s="38" t="inlineStr">
        <is>
          <t>·  80.000 viewers 75%+ del TOFU.</t>
        </is>
      </c>
    </row>
    <row r="21" ht="24" customHeight="1">
      <c r="A21" s="38" t="inlineStr">
        <is>
          <t>·  1.500 leads email + WhatsApp.</t>
        </is>
      </c>
    </row>
    <row r="22" ht="24" customHeight="1">
      <c r="A22" s="38" t="inlineStr">
        <is>
          <t>·  800 carritos abandonados.</t>
        </is>
      </c>
    </row>
    <row r="23" ht="24" customHeight="1">
      <c r="A23" s="38" t="inlineStr">
        <is>
          <t>·  15.000 engagement IG cualificado.</t>
        </is>
      </c>
    </row>
    <row r="24" ht="24" customHeight="1">
      <c r="A24" s="39" t="inlineStr">
        <is>
          <t>·  Esto se monetiza en F2 con ROAS 4.8x — ese es el retorno real del TOFU.</t>
        </is>
      </c>
    </row>
  </sheetData>
  <mergeCells count="13">
    <mergeCell ref="A21:E21"/>
    <mergeCell ref="A12:E12"/>
    <mergeCell ref="D16:E16"/>
    <mergeCell ref="A20:E20"/>
    <mergeCell ref="A24:E24"/>
    <mergeCell ref="D15:E15"/>
    <mergeCell ref="A10:E10"/>
    <mergeCell ref="A19:E19"/>
    <mergeCell ref="A11:E11"/>
    <mergeCell ref="A23:E23"/>
    <mergeCell ref="A13:E13"/>
    <mergeCell ref="A22:E22"/>
    <mergeCell ref="A18:E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36" customWidth="1" min="3" max="3"/>
    <col width="38" customWidth="1" min="4" max="4"/>
    <col width="32" customWidth="1" min="5" max="5"/>
  </cols>
  <sheetData>
    <row r="1">
      <c r="A1" s="1" t="inlineStr">
        <is>
          <t>Pauta Fase 2 — Mes 3 al 12</t>
        </is>
      </c>
    </row>
    <row r="2">
      <c r="A2" s="2" t="inlineStr">
        <is>
          <t>ROAS PECA recalibrados con calculadora del usuario · 1 / (% margen invertible)</t>
        </is>
      </c>
    </row>
    <row r="3">
      <c r="A3" s="40" t="inlineStr">
        <is>
          <t>⚠ Versión 3 · ROAS Ascensión bajado de 10x a 7x · Conversión de 8x a 5.5x</t>
        </is>
      </c>
    </row>
    <row r="5" ht="28" customHeight="1">
      <c r="A5" s="23" t="inlineStr">
        <is>
          <t>INVERSIÓN MENSUAL Y ANUAL F2</t>
        </is>
      </c>
    </row>
    <row r="6">
      <c r="A6" s="12" t="inlineStr">
        <is>
          <t>Inversión mensual F2</t>
        </is>
      </c>
      <c r="B6" s="41" t="n">
        <v>2000000</v>
      </c>
      <c r="C6" s="13" t="inlineStr">
        <is>
          <t>Plan T7</t>
        </is>
      </c>
      <c r="D6" s="14" t="inlineStr">
        <is>
          <t>Sobre audiencias custom.</t>
        </is>
      </c>
      <c r="E6" s="11" t="n"/>
    </row>
    <row r="7">
      <c r="A7" s="12" t="inlineStr">
        <is>
          <t>Meses F2</t>
        </is>
      </c>
      <c r="B7" s="42" t="n">
        <v>10</v>
      </c>
      <c r="C7" s="13">
        <f> 12 - 2 (F1)</f>
        <v/>
      </c>
      <c r="D7" s="14" t="inlineStr">
        <is>
          <t>Del mes 3 al 12.</t>
        </is>
      </c>
      <c r="E7" s="11" t="n"/>
    </row>
    <row r="8">
      <c r="A8" s="12" t="inlineStr">
        <is>
          <t>Inversión total F2</t>
        </is>
      </c>
      <c r="B8" s="9" t="n">
        <v>20000000</v>
      </c>
      <c r="C8" s="13">
        <f> 2M × 10</f>
        <v/>
      </c>
      <c r="D8" s="14" t="inlineStr">
        <is>
          <t>Total anual escala.</t>
        </is>
      </c>
      <c r="E8" s="11" t="n"/>
    </row>
    <row r="10" ht="28" customHeight="1">
      <c r="A10" s="6" t="inlineStr">
        <is>
          <t>DESGLOSE PECA · ROAS POR SUB-FASE</t>
        </is>
      </c>
    </row>
    <row r="11">
      <c r="A11" s="7" t="inlineStr">
        <is>
          <t>Sub-fase PECA</t>
        </is>
      </c>
      <c r="B11" s="7" t="inlineStr">
        <is>
          <t>% inv.</t>
        </is>
      </c>
      <c r="C11" s="7" t="inlineStr">
        <is>
          <t>Inversión COP</t>
        </is>
      </c>
      <c r="D11" s="7" t="inlineStr">
        <is>
          <t>% margen invertible</t>
        </is>
      </c>
      <c r="E11" s="7" t="inlineStr">
        <is>
          <t>ROAS = 1/margen</t>
        </is>
      </c>
    </row>
    <row r="12">
      <c r="A12" s="24" t="inlineStr">
        <is>
          <t>Presentación · audiencias frías nuevas (lookalike 1%)</t>
        </is>
      </c>
      <c r="B12" s="29" t="n">
        <v>0.1</v>
      </c>
      <c r="C12" s="28" t="n">
        <v>2000000</v>
      </c>
      <c r="D12" s="29" t="n">
        <v>0.4</v>
      </c>
      <c r="E12" s="30" t="n">
        <v>2.5</v>
      </c>
    </row>
    <row r="13">
      <c r="A13" s="24" t="inlineStr">
        <is>
          <t>Evaluación · viewers 75%+ del TOFU sin compra</t>
        </is>
      </c>
      <c r="B13" s="29" t="n">
        <v>0.4</v>
      </c>
      <c r="C13" s="28" t="n">
        <v>8000000</v>
      </c>
      <c r="D13" s="29" t="n">
        <v>0.25</v>
      </c>
      <c r="E13" s="30" t="n">
        <v>4</v>
      </c>
    </row>
    <row r="14">
      <c r="A14" s="24" t="inlineStr">
        <is>
          <t>Conversión · visitantes web + carritos abandonados</t>
        </is>
      </c>
      <c r="B14" s="29" t="n">
        <v>0.35</v>
      </c>
      <c r="C14" s="28" t="n">
        <v>7000000</v>
      </c>
      <c r="D14" s="29" t="n">
        <v>0.18</v>
      </c>
      <c r="E14" s="30" t="n">
        <v>5.5</v>
      </c>
    </row>
    <row r="15">
      <c r="A15" s="24" t="inlineStr">
        <is>
          <t>Ascensión · base histórica de clientes</t>
        </is>
      </c>
      <c r="B15" s="29" t="n">
        <v>0.15</v>
      </c>
      <c r="C15" s="28" t="n">
        <v>3000000</v>
      </c>
      <c r="D15" s="29" t="n">
        <v>0.14</v>
      </c>
      <c r="E15" s="30" t="n">
        <v>7</v>
      </c>
    </row>
    <row r="16">
      <c r="A16" s="31" t="inlineStr">
        <is>
          <t>TOTAL F2 BLENDED</t>
        </is>
      </c>
      <c r="B16" s="33" t="n">
        <v>1</v>
      </c>
      <c r="C16" s="32" t="n">
        <v>20000000</v>
      </c>
      <c r="D16" s="43" t="inlineStr">
        <is>
          <t>—</t>
        </is>
      </c>
      <c r="E16" s="34" t="n">
        <v>4.825</v>
      </c>
    </row>
    <row r="18">
      <c r="A18" s="21" t="inlineStr">
        <is>
          <t>Ingresos esperados F2</t>
        </is>
      </c>
      <c r="B18" s="9" t="n">
        <v>96500000</v>
      </c>
      <c r="C18" s="13">
        <f> Σ (Inv × ROAS) por sub-fase</f>
        <v/>
      </c>
      <c r="D18" s="14" t="inlineStr">
        <is>
          <t>$96.5M sobre audiencias pre-conquistadas en F1.</t>
        </is>
      </c>
      <c r="E18" s="11" t="n"/>
    </row>
    <row r="19">
      <c r="A19" s="21" t="inlineStr">
        <is>
          <t>ROAS blended F2</t>
        </is>
      </c>
      <c r="B19" s="35" t="n">
        <v>4.825</v>
      </c>
      <c r="C19" s="13">
        <f> 96.500.000 / 20.000.000</f>
        <v/>
      </c>
      <c r="D19" s="14" t="inlineStr">
        <is>
          <t>4.83x — realista según calculadora.</t>
        </is>
      </c>
      <c r="E19" s="11" t="n"/>
    </row>
    <row r="21" ht="28" customHeight="1">
      <c r="A21" s="37" t="inlineStr">
        <is>
          <t>FÓRMULA DE VALIDACIÓN (calculadora del usuario)</t>
        </is>
      </c>
    </row>
    <row r="22" ht="22" customHeight="1">
      <c r="A22" s="44" t="inlineStr">
        <is>
          <t>·  Fórmula maestra: ROAS Objetivo = 1 / (% margen que estás dispuesto a invertir).</t>
        </is>
      </c>
    </row>
    <row r="23" ht="22" customHeight="1">
      <c r="A23" s="44" t="inlineStr">
        <is>
          <t>·  Audiencia fría · Lookalike (Presentación): inviertes 40% del margen → ROAS 2.5x.</t>
        </is>
      </c>
    </row>
    <row r="24" ht="22" customHeight="1">
      <c r="A24" s="44" t="inlineStr">
        <is>
          <t>·  Audiencia tibia · Viewers (Evaluación): inviertes 25% del margen → ROAS 4.0x.</t>
        </is>
      </c>
    </row>
    <row r="25" ht="22" customHeight="1">
      <c r="A25" s="44" t="inlineStr">
        <is>
          <t>·  Audiencia caliente · Carritos (Conversión): inviertes 18% del margen → ROAS 5.5x.</t>
        </is>
      </c>
    </row>
    <row r="26" ht="22" customHeight="1">
      <c r="A26" s="44" t="inlineStr">
        <is>
          <t>·  Audiencia muy caliente · Base (Ascensión): inviertes 14% del margen → ROAS 7.0x.</t>
        </is>
      </c>
    </row>
    <row r="28" ht="28" customHeight="1">
      <c r="A28" s="4" t="inlineStr">
        <is>
          <t>PAUTA AÑO 1 CONSOLIDADA (F1 + F2)</t>
        </is>
      </c>
    </row>
    <row r="29">
      <c r="A29" s="12" t="inlineStr">
        <is>
          <t>Inversión total pauta año 1</t>
        </is>
      </c>
      <c r="B29" s="9" t="n">
        <v>26000000</v>
      </c>
      <c r="C29" s="13">
        <f> 6.000.000 + 20.000.000</f>
        <v/>
      </c>
      <c r="D29" s="14" t="inlineStr">
        <is>
          <t>Total Google + Meta.</t>
        </is>
      </c>
      <c r="E29" s="11" t="n"/>
    </row>
    <row r="30">
      <c r="A30" s="12" t="inlineStr">
        <is>
          <t>Ingresos totales pauta año 1</t>
        </is>
      </c>
      <c r="B30" s="9" t="n">
        <v>118940000</v>
      </c>
      <c r="C30" s="13">
        <f> 22.440.000 (F1) + 96.500.000 (F2)</f>
        <v/>
      </c>
      <c r="D30" s="14" t="inlineStr">
        <is>
          <t>Atribución directa.</t>
        </is>
      </c>
      <c r="E30" s="11" t="n"/>
    </row>
    <row r="31">
      <c r="A31" s="21" t="inlineStr">
        <is>
          <t>ROAS año 1 blended</t>
        </is>
      </c>
      <c r="B31" s="35" t="n">
        <v>4.574615384615385</v>
      </c>
      <c r="C31" s="13">
        <f> 118.940.000 / 26.000.000</f>
        <v/>
      </c>
      <c r="D31" s="14" t="inlineStr">
        <is>
          <t>Cada $1 de pauta año 1 vuelve ~$4.57.</t>
        </is>
      </c>
      <c r="E31" s="11" t="n"/>
    </row>
  </sheetData>
  <mergeCells count="17">
    <mergeCell ref="D8:E8"/>
    <mergeCell ref="D6:E6"/>
    <mergeCell ref="A21:E21"/>
    <mergeCell ref="D7:E7"/>
    <mergeCell ref="A24:E24"/>
    <mergeCell ref="A26:E26"/>
    <mergeCell ref="D30:E30"/>
    <mergeCell ref="D19:E19"/>
    <mergeCell ref="A10:E10"/>
    <mergeCell ref="A25:E25"/>
    <mergeCell ref="A28:E28"/>
    <mergeCell ref="D29:E29"/>
    <mergeCell ref="A5:E5"/>
    <mergeCell ref="A23:E23"/>
    <mergeCell ref="D18:E18"/>
    <mergeCell ref="D31:E31"/>
    <mergeCell ref="A22:E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36" customWidth="1" min="3" max="3"/>
    <col width="38" customWidth="1" min="4" max="4"/>
    <col width="32" customWidth="1" min="5" max="5"/>
  </cols>
  <sheetData>
    <row r="1">
      <c r="A1" s="1" t="inlineStr">
        <is>
          <t>Reactivación email — donde está la plata</t>
        </is>
      </c>
    </row>
    <row r="2">
      <c r="A2" s="2" t="inlineStr">
        <is>
          <t>"The Money's in the List" cuantificado · AOV $200K auditado</t>
        </is>
      </c>
    </row>
    <row r="4" ht="28" customHeight="1">
      <c r="A4" s="4" t="inlineStr">
        <is>
          <t>CÁLCULO BASE</t>
        </is>
      </c>
    </row>
    <row r="5">
      <c r="A5" s="12" t="inlineStr">
        <is>
          <t>Base histórica</t>
        </is>
      </c>
      <c r="B5" s="15" t="n">
        <v>5000</v>
      </c>
      <c r="C5" s="13" t="inlineStr">
        <is>
          <t>Hoja 02</t>
        </is>
      </c>
      <c r="D5" s="14" t="inlineStr">
        <is>
          <t>Activo intransferible.</t>
        </is>
      </c>
      <c r="E5" s="11" t="n"/>
    </row>
    <row r="6">
      <c r="A6" s="12" t="inlineStr">
        <is>
          <t>% reactivación</t>
        </is>
      </c>
      <c r="B6" s="45" t="n">
        <v>0.15</v>
      </c>
      <c r="C6" s="13" t="inlineStr">
        <is>
          <t>Plan T10</t>
        </is>
      </c>
      <c r="D6" s="14" t="inlineStr">
        <is>
          <t>Objetivo conservador vs benchmark email apparel.</t>
        </is>
      </c>
      <c r="E6" s="11" t="n"/>
    </row>
    <row r="7">
      <c r="A7" s="12" t="inlineStr">
        <is>
          <t>Personas reactivadas</t>
        </is>
      </c>
      <c r="B7" s="15" t="n">
        <v>750</v>
      </c>
      <c r="C7" s="13">
        <f> 5.000 × 15%</f>
        <v/>
      </c>
      <c r="D7" s="14" t="inlineStr">
        <is>
          <t>Vuelven a comprar sin pauta extra.</t>
        </is>
      </c>
      <c r="E7" s="11" t="n"/>
    </row>
    <row r="8">
      <c r="A8" s="12" t="inlineStr">
        <is>
          <t>AOV</t>
        </is>
      </c>
      <c r="B8" s="9" t="n">
        <v>200000</v>
      </c>
      <c r="C8" s="13" t="inlineStr">
        <is>
          <t>Hoja 02</t>
        </is>
      </c>
      <c r="D8" s="14" t="inlineStr">
        <is>
          <t>Auditado.</t>
        </is>
      </c>
      <c r="E8" s="11" t="n"/>
    </row>
    <row r="9">
      <c r="A9" s="21" t="inlineStr">
        <is>
          <t>Ingresos adicionales año</t>
        </is>
      </c>
      <c r="B9" s="9" t="n">
        <v>150000000</v>
      </c>
      <c r="C9" s="13">
        <f> 750 × $200K</f>
        <v/>
      </c>
      <c r="D9" s="14" t="inlineStr">
        <is>
          <t>$150M COP que no entran sin email.</t>
        </is>
      </c>
      <c r="E9" s="11" t="n"/>
    </row>
    <row r="11" ht="28" customHeight="1">
      <c r="A11" s="6" t="inlineStr">
        <is>
          <t>COSTO Y ROI</t>
        </is>
      </c>
    </row>
    <row r="12">
      <c r="A12" s="12" t="inlineStr">
        <is>
          <t>Envíos email totales/año</t>
        </is>
      </c>
      <c r="B12" s="46" t="n">
        <v>60000</v>
      </c>
      <c r="C12" s="13">
        <f> 5.000 × 12</f>
        <v/>
      </c>
      <c r="D12" s="14" t="inlineStr">
        <is>
          <t>Newsletter mensual + flujos.</t>
        </is>
      </c>
      <c r="E12" s="11" t="n"/>
    </row>
    <row r="13">
      <c r="A13" s="12" t="inlineStr">
        <is>
          <t>Costo por envío</t>
        </is>
      </c>
      <c r="B13" s="9" t="n">
        <v>40</v>
      </c>
      <c r="C13" s="13" t="inlineStr">
        <is>
          <t>Benchmark Mailchimp/Brevo</t>
        </is>
      </c>
      <c r="D13" s="14" t="inlineStr">
        <is>
          <t>Plataforma operativa.</t>
        </is>
      </c>
      <c r="E13" s="11" t="n"/>
    </row>
    <row r="14">
      <c r="A14" s="12" t="inlineStr">
        <is>
          <t>Costo operativo año</t>
        </is>
      </c>
      <c r="B14" s="9" t="n">
        <v>2400000</v>
      </c>
      <c r="C14" s="13">
        <f> 60.000 × $40</f>
        <v/>
      </c>
      <c r="D14" s="14" t="inlineStr">
        <is>
          <t>Único costo del sistema email.</t>
        </is>
      </c>
      <c r="E14" s="11" t="n"/>
    </row>
    <row r="15">
      <c r="A15" s="21" t="inlineStr">
        <is>
          <t>Utilidad neta reactivación</t>
        </is>
      </c>
      <c r="B15" s="9" t="n">
        <v>147600000</v>
      </c>
      <c r="C15" s="13">
        <f> $150M - $2.4M</f>
        <v/>
      </c>
      <c r="D15" s="14" t="inlineStr">
        <is>
          <t>Plata limpia · CAC $0.</t>
        </is>
      </c>
      <c r="E15" s="11" t="n"/>
    </row>
    <row r="16">
      <c r="A16" s="21" t="inlineStr">
        <is>
          <t>ROI email anual</t>
        </is>
      </c>
      <c r="B16" s="47" t="n">
        <v>61.5</v>
      </c>
      <c r="C16" s="13">
        <f> 147.600.000 / 2.400.000</f>
        <v/>
      </c>
      <c r="D16" s="14" t="inlineStr">
        <is>
          <t>$1 invertido devuelve $61.50.</t>
        </is>
      </c>
      <c r="E16" s="11" t="n"/>
    </row>
    <row r="18" ht="28" customHeight="1">
      <c r="A18" s="23" t="inlineStr">
        <is>
          <t>ROAS WIN-BACK</t>
        </is>
      </c>
    </row>
    <row r="19">
      <c r="A19" s="12" t="inlineStr">
        <is>
          <t>Costo campaña win-back</t>
        </is>
      </c>
      <c r="B19" s="9" t="n">
        <v>150000</v>
      </c>
      <c r="C19" s="13" t="inlineStr">
        <is>
          <t>Plan T10</t>
        </is>
      </c>
      <c r="D19" s="14" t="inlineStr">
        <is>
          <t>Envío específico a inactivos.</t>
        </is>
      </c>
      <c r="E19" s="11" t="n"/>
    </row>
    <row r="20">
      <c r="A20" s="12" t="inlineStr">
        <is>
          <t>Reactivados win-back</t>
        </is>
      </c>
      <c r="B20" s="15" t="n">
        <v>188</v>
      </c>
      <c r="C20" s="13" t="inlineStr">
        <is>
          <t>Plan T10</t>
        </is>
      </c>
      <c r="D20" s="14" t="inlineStr">
        <is>
          <t>Los más fríos (&gt;6 meses).</t>
        </is>
      </c>
      <c r="E20" s="11" t="n"/>
    </row>
    <row r="21">
      <c r="A21" s="12" t="inlineStr">
        <is>
          <t>Ingresos win-back</t>
        </is>
      </c>
      <c r="B21" s="9" t="n">
        <v>37600000</v>
      </c>
      <c r="C21" s="13">
        <f> 188 × $200K</f>
        <v/>
      </c>
      <c r="D21" s="14" t="inlineStr">
        <is>
          <t>Atribución directa.</t>
        </is>
      </c>
      <c r="E21" s="11" t="n"/>
    </row>
    <row r="22">
      <c r="A22" s="21" t="inlineStr">
        <is>
          <t>ROAS win-back</t>
        </is>
      </c>
      <c r="B22" s="48" t="n">
        <v>250</v>
      </c>
      <c r="C22" s="13">
        <f> 37.600.000 / 150.000</f>
        <v/>
      </c>
      <c r="D22" s="14" t="inlineStr">
        <is>
          <t>$1 devuelve $251.</t>
        </is>
      </c>
      <c r="E22" s="11" t="n"/>
    </row>
  </sheetData>
  <mergeCells count="17">
    <mergeCell ref="D8:E8"/>
    <mergeCell ref="D6:E6"/>
    <mergeCell ref="D20:E20"/>
    <mergeCell ref="D16:E16"/>
    <mergeCell ref="A4:E4"/>
    <mergeCell ref="D7:E7"/>
    <mergeCell ref="D15:E15"/>
    <mergeCell ref="D19:E19"/>
    <mergeCell ref="D13:E13"/>
    <mergeCell ref="D5:E5"/>
    <mergeCell ref="A11:E11"/>
    <mergeCell ref="D14:E14"/>
    <mergeCell ref="D22:E22"/>
    <mergeCell ref="D9:E9"/>
    <mergeCell ref="A18:E18"/>
    <mergeCell ref="D12:E12"/>
    <mergeCell ref="D21:E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36" customWidth="1" min="3" max="3"/>
    <col width="38" customWidth="1" min="4" max="4"/>
    <col width="32" customWidth="1" min="5" max="5"/>
  </cols>
  <sheetData>
    <row r="1">
      <c r="A1" s="1" t="inlineStr">
        <is>
          <t>Escalabilidad — 3 acciones</t>
        </is>
      </c>
    </row>
    <row r="2">
      <c r="A2" s="2" t="inlineStr">
        <is>
          <t>Subir el ticket sin subir la pauta · Plan T11</t>
        </is>
      </c>
    </row>
    <row r="4" ht="28" customHeight="1">
      <c r="A4" s="23" t="inlineStr">
        <is>
          <t>ACCIÓN 01 · CASCADA UPSELL CHECKOUT</t>
        </is>
      </c>
    </row>
    <row r="5">
      <c r="A5" s="12" t="inlineStr">
        <is>
          <t>Ticket BASE (chaqueta)</t>
        </is>
      </c>
      <c r="B5" s="9" t="n">
        <v>210000</v>
      </c>
      <c r="C5" s="13" t="inlineStr">
        <is>
          <t>Espeletia Negro</t>
        </is>
      </c>
      <c r="D5" s="14" t="inlineStr">
        <is>
          <t>Punto de partida.</t>
        </is>
      </c>
      <c r="E5" s="11" t="n"/>
    </row>
    <row r="6">
      <c r="A6" s="12" t="inlineStr">
        <is>
          <t>Cuellito con descuento</t>
        </is>
      </c>
      <c r="B6" s="9" t="n">
        <v>29900</v>
      </c>
      <c r="C6" s="13" t="inlineStr">
        <is>
          <t>$39.9K - $10K dto</t>
        </is>
      </c>
      <c r="D6" s="14" t="inlineStr">
        <is>
          <t>Primer upsell.</t>
        </is>
      </c>
      <c r="E6" s="11" t="n"/>
    </row>
    <row r="7">
      <c r="A7" s="12" t="inlineStr">
        <is>
          <t>Camibuso -15%</t>
        </is>
      </c>
      <c r="B7" s="9" t="n">
        <v>135150</v>
      </c>
      <c r="C7" s="13">
        <f> 159.000 × 0.85</f>
        <v/>
      </c>
      <c r="D7" s="14" t="inlineStr">
        <is>
          <t>Segundo upsell.</t>
        </is>
      </c>
      <c r="E7" s="11" t="n"/>
    </row>
    <row r="8">
      <c r="A8" s="21" t="inlineStr">
        <is>
          <t>Ticket cascada completa</t>
        </is>
      </c>
      <c r="B8" s="9" t="n">
        <v>375050</v>
      </c>
      <c r="C8" s="13">
        <f> 210K + 29.9K + 135.15K</f>
        <v/>
      </c>
      <c r="D8" s="14" t="inlineStr">
        <is>
          <t>Si añade ambos upsells.</t>
        </is>
      </c>
      <c r="E8" s="11" t="n"/>
    </row>
    <row r="9">
      <c r="A9" s="21" t="inlineStr">
        <is>
          <t>Delta vs base</t>
        </is>
      </c>
      <c r="B9" s="17" t="n">
        <v>0.786</v>
      </c>
      <c r="C9" s="13">
        <f> (375.050 - 210K) / 210K</f>
        <v/>
      </c>
      <c r="D9" s="14" t="inlineStr">
        <is>
          <t>+78.6% sin pauta extra.</t>
        </is>
      </c>
      <c r="E9" s="11" t="n"/>
    </row>
    <row r="10">
      <c r="A10" s="12" t="inlineStr">
        <is>
          <t>Tasa de adopción</t>
        </is>
      </c>
      <c r="B10" s="45" t="n">
        <v>0.25</v>
      </c>
      <c r="C10" s="13" t="inlineStr">
        <is>
          <t>Benchmark Shopify</t>
        </is>
      </c>
      <c r="D10" s="14" t="inlineStr">
        <is>
          <t>25% acepta al menos un upsell.</t>
        </is>
      </c>
      <c r="E10" s="11" t="n"/>
    </row>
    <row r="12" ht="28" customHeight="1">
      <c r="A12" s="23" t="inlineStr">
        <is>
          <t>ACCIÓN 02 · REFERIDOS DUAL</t>
        </is>
      </c>
    </row>
    <row r="13">
      <c r="A13" s="12" t="inlineStr">
        <is>
          <t>Dto amigo</t>
        </is>
      </c>
      <c r="B13" s="45" t="n">
        <v>0.1</v>
      </c>
      <c r="C13" s="13" t="inlineStr">
        <is>
          <t>Plan T11</t>
        </is>
      </c>
      <c r="D13" s="14" t="inlineStr">
        <is>
          <t>Atrae al referido.</t>
        </is>
      </c>
      <c r="E13" s="11" t="n"/>
    </row>
    <row r="14">
      <c r="A14" s="12" t="inlineStr">
        <is>
          <t>Dto referidor</t>
        </is>
      </c>
      <c r="B14" s="45" t="n">
        <v>0.15</v>
      </c>
      <c r="C14" s="13" t="inlineStr">
        <is>
          <t>Plan T11</t>
        </is>
      </c>
      <c r="D14" s="14" t="inlineStr">
        <is>
          <t>Activa recompra original.</t>
        </is>
      </c>
      <c r="E14" s="11" t="n"/>
    </row>
    <row r="15">
      <c r="A15" s="12" t="inlineStr">
        <is>
          <t>CAC referido total</t>
        </is>
      </c>
      <c r="B15" s="9" t="n">
        <v>50000</v>
      </c>
      <c r="C15" s="13">
        <f> $20K + $30K</f>
        <v/>
      </c>
      <c r="D15" s="14" t="inlineStr">
        <is>
          <t>Sin ampliar pauta.</t>
        </is>
      </c>
      <c r="E15" s="11" t="n"/>
    </row>
    <row r="17" ht="28" customHeight="1">
      <c r="A17" s="23" t="inlineStr">
        <is>
          <t>ACCIÓN 03 · EMAIL D14</t>
        </is>
      </c>
    </row>
    <row r="18">
      <c r="A18" s="12" t="inlineStr">
        <is>
          <t>Disparador</t>
        </is>
      </c>
      <c r="B18" s="49" t="inlineStr">
        <is>
          <t>+14 días</t>
        </is>
      </c>
      <c r="C18" s="13" t="inlineStr">
        <is>
          <t>Automatización</t>
        </is>
      </c>
      <c r="D18" s="14" t="inlineStr">
        <is>
          <t>Cross-sell automático.</t>
        </is>
      </c>
      <c r="E18" s="11" t="n"/>
    </row>
    <row r="19">
      <c r="A19" s="12" t="inlineStr">
        <is>
          <t>Dto cross-sell</t>
        </is>
      </c>
      <c r="B19" s="45" t="n">
        <v>0.1</v>
      </c>
      <c r="C19" s="13" t="inlineStr">
        <is>
          <t>Plan T11</t>
        </is>
      </c>
      <c r="D19" s="14" t="inlineStr">
        <is>
          <t>72h válido.</t>
        </is>
      </c>
      <c r="E19" s="11" t="n"/>
    </row>
    <row r="20">
      <c r="A20" s="12" t="inlineStr">
        <is>
          <t>Conversion rate</t>
        </is>
      </c>
      <c r="B20" s="45" t="n">
        <v>0.08</v>
      </c>
      <c r="C20" s="13" t="inlineStr">
        <is>
          <t>Benchmark</t>
        </is>
      </c>
      <c r="D20" s="14" t="inlineStr">
        <is>
          <t>8% convierte cross-sell.</t>
        </is>
      </c>
      <c r="E20" s="11" t="n"/>
    </row>
  </sheetData>
  <mergeCells count="15">
    <mergeCell ref="D8:E8"/>
    <mergeCell ref="D6:E6"/>
    <mergeCell ref="D20:E20"/>
    <mergeCell ref="A12:E12"/>
    <mergeCell ref="A4:E4"/>
    <mergeCell ref="D7:E7"/>
    <mergeCell ref="D10:E10"/>
    <mergeCell ref="D15:E15"/>
    <mergeCell ref="D19:E19"/>
    <mergeCell ref="D13:E13"/>
    <mergeCell ref="D5:E5"/>
    <mergeCell ref="D14:E14"/>
    <mergeCell ref="D18:E18"/>
    <mergeCell ref="D9:E9"/>
    <mergeCell ref="A17:E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36" customWidth="1" min="3" max="3"/>
    <col width="38" customWidth="1" min="4" max="4"/>
    <col width="32" customWidth="1" min="5" max="5"/>
  </cols>
  <sheetData>
    <row r="1">
      <c r="A1" s="1" t="inlineStr">
        <is>
          <t>PRESUPUESTO AÑO 1 — Inversión total</t>
        </is>
      </c>
    </row>
    <row r="2">
      <c r="A2" s="2" t="inlineStr">
        <is>
          <t>Lo que Atratus pone en el sistema en 12 meses</t>
        </is>
      </c>
    </row>
    <row r="4">
      <c r="A4" s="7" t="inlineStr">
        <is>
          <t>Línea de gasto</t>
        </is>
      </c>
      <c r="B4" s="7" t="inlineStr">
        <is>
          <t>Monto COP</t>
        </is>
      </c>
      <c r="C4" s="7" t="inlineStr">
        <is>
          <t>Cálculo</t>
        </is>
      </c>
      <c r="D4" s="7" t="inlineStr">
        <is>
          <t>Explicación</t>
        </is>
      </c>
      <c r="E4" s="7" t="inlineStr"/>
    </row>
    <row r="5">
      <c r="A5" s="8" t="inlineStr">
        <is>
          <t>Pauta Fase 1 (2 meses)</t>
        </is>
      </c>
      <c r="B5" s="50" t="n">
        <v>6000000</v>
      </c>
      <c r="C5" s="51" t="inlineStr">
        <is>
          <t>$3M BOFU + $1.8M MOFU + $1.2M TOFU</t>
        </is>
      </c>
      <c r="D5" s="10" t="inlineStr">
        <is>
          <t>Plan T7.</t>
        </is>
      </c>
      <c r="E5" s="11" t="n"/>
    </row>
    <row r="6">
      <c r="A6" s="8" t="inlineStr">
        <is>
          <t>Pauta Fase 2 (10 meses)</t>
        </is>
      </c>
      <c r="B6" s="50" t="n">
        <v>20000000</v>
      </c>
      <c r="C6" s="51" t="inlineStr">
        <is>
          <t>$2M × 10 meses</t>
        </is>
      </c>
      <c r="D6" s="10" t="inlineStr">
        <is>
          <t>Audiencias custom.</t>
        </is>
      </c>
      <c r="E6" s="11" t="n"/>
    </row>
    <row r="7">
      <c r="A7" s="8" t="inlineStr">
        <is>
          <t>Email + CRM operativo</t>
        </is>
      </c>
      <c r="B7" s="50" t="n">
        <v>2400000</v>
      </c>
      <c r="C7" s="51" t="inlineStr">
        <is>
          <t>60.000 envíos × $40</t>
        </is>
      </c>
      <c r="D7" s="10" t="inlineStr">
        <is>
          <t>Newsletter + flujos.</t>
        </is>
      </c>
      <c r="E7" s="11" t="n"/>
    </row>
    <row r="8">
      <c r="A8" s="8" t="inlineStr">
        <is>
          <t>Stack tools</t>
        </is>
      </c>
      <c r="B8" s="50" t="n">
        <v>2596800</v>
      </c>
      <c r="C8" s="51" t="inlineStr">
        <is>
          <t>~$54 USD × 12 × $4K COP</t>
        </is>
      </c>
      <c r="D8" s="10" t="inlineStr">
        <is>
          <t>Shopify $29 + Brevo $25.</t>
        </is>
      </c>
      <c r="E8" s="11" t="n"/>
    </row>
    <row r="9">
      <c r="A9" s="52" t="inlineStr">
        <is>
          <t>TOTAL INVERSIÓN AÑO 1</t>
        </is>
      </c>
      <c r="B9" s="53" t="n">
        <v>30996800</v>
      </c>
      <c r="C9" s="51">
        <f>SUMA(B5:B8)</f>
        <v/>
      </c>
      <c r="D9" s="10" t="inlineStr">
        <is>
          <t>~$31.0M COP año 1.</t>
        </is>
      </c>
      <c r="E9" s="11" t="n"/>
    </row>
  </sheetData>
  <mergeCells count="5">
    <mergeCell ref="D8:E8"/>
    <mergeCell ref="D6:E6"/>
    <mergeCell ref="D7:E7"/>
    <mergeCell ref="D5:E5"/>
    <mergeCell ref="D9:E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36" customWidth="1" min="3" max="3"/>
    <col width="38" customWidth="1" min="4" max="4"/>
    <col width="32" customWidth="1" min="5" max="5"/>
  </cols>
  <sheetData>
    <row r="1">
      <c r="A1" s="1" t="inlineStr">
        <is>
          <t>RETORNO AÑO 1 — Ingresos proyectados</t>
        </is>
      </c>
    </row>
    <row r="2">
      <c r="A2" s="2" t="inlineStr">
        <is>
          <t>v3 · ROAS F2 recalibrado a 4.83x con calculadora del usuario</t>
        </is>
      </c>
    </row>
    <row r="4">
      <c r="A4" s="7" t="inlineStr">
        <is>
          <t>Fuente de ingreso</t>
        </is>
      </c>
      <c r="B4" s="7" t="inlineStr">
        <is>
          <t>Monto COP</t>
        </is>
      </c>
      <c r="C4" s="7" t="inlineStr">
        <is>
          <t>Cálculo</t>
        </is>
      </c>
      <c r="D4" s="7" t="inlineStr">
        <is>
          <t>Explicación</t>
        </is>
      </c>
      <c r="E4" s="7" t="inlineStr"/>
    </row>
    <row r="5">
      <c r="A5" s="8" t="inlineStr">
        <is>
          <t>Pauta directa Fase 1</t>
        </is>
      </c>
      <c r="B5" s="50" t="n">
        <v>22440000</v>
      </c>
      <c r="C5" s="51" t="inlineStr">
        <is>
          <t>BOFU $16.5M + MOFU $4.5M + TOFU $1.44M</t>
        </is>
      </c>
      <c r="D5" s="10" t="inlineStr">
        <is>
          <t>ROAS por fase 5.5x · 2.5x · 1.2x.</t>
        </is>
      </c>
      <c r="E5" s="11" t="n"/>
    </row>
    <row r="6">
      <c r="A6" s="8" t="inlineStr">
        <is>
          <t>Pauta directa Fase 2</t>
        </is>
      </c>
      <c r="B6" s="50" t="n">
        <v>96500000</v>
      </c>
      <c r="C6" s="51" t="inlineStr">
        <is>
          <t>PECA: Pres 2.5x + Eval 4.0x + Conv 5.5x + Asc 7.0x</t>
        </is>
      </c>
      <c r="D6" s="10" t="inlineStr">
        <is>
          <t>ROAS blended 4.83x (calculadora).</t>
        </is>
      </c>
      <c r="E6" s="11" t="n"/>
    </row>
    <row r="7">
      <c r="A7" s="8" t="inlineStr">
        <is>
          <t>Reactivación email</t>
        </is>
      </c>
      <c r="B7" s="50" t="n">
        <v>150000000</v>
      </c>
      <c r="C7" s="51" t="inlineStr">
        <is>
          <t>5.000 × 15% × $200K</t>
        </is>
      </c>
      <c r="D7" s="10" t="inlineStr">
        <is>
          <t>750 personas que vuelven sin pauta extra.</t>
        </is>
      </c>
      <c r="E7" s="11" t="n"/>
    </row>
    <row r="8">
      <c r="A8" s="8" t="inlineStr">
        <is>
          <t>Cascada upsell</t>
        </is>
      </c>
      <c r="B8" s="50" t="n">
        <v>14000000</v>
      </c>
      <c r="C8" s="51" t="inlineStr">
        <is>
          <t>+$30K × ~466 órdenes (25% adop.)</t>
        </is>
      </c>
      <c r="D8" s="10" t="inlineStr">
        <is>
          <t>Incremento ticket en órdenes.</t>
        </is>
      </c>
      <c r="E8" s="11" t="n"/>
    </row>
    <row r="9">
      <c r="A9" s="52" t="inlineStr">
        <is>
          <t>TOTAL RETORNO AÑO 1</t>
        </is>
      </c>
      <c r="B9" s="53" t="n">
        <v>282940000</v>
      </c>
      <c r="C9" s="51">
        <f>SUMA(B5:B8)</f>
        <v/>
      </c>
      <c r="D9" s="10" t="inlineStr">
        <is>
          <t>~$282.9M COP año 1.</t>
        </is>
      </c>
      <c r="E9" s="11" t="n"/>
    </row>
    <row r="11" ht="28" customHeight="1">
      <c r="A11" s="4" t="inlineStr">
        <is>
          <t>ROI AÑO 1</t>
        </is>
      </c>
    </row>
    <row r="12">
      <c r="A12" s="12" t="inlineStr">
        <is>
          <t>Total inversión año 1</t>
        </is>
      </c>
      <c r="B12" s="9" t="n">
        <v>30996800</v>
      </c>
      <c r="C12" s="13" t="inlineStr">
        <is>
          <t>Hoja 09</t>
        </is>
      </c>
      <c r="D12" s="14" t="inlineStr">
        <is>
          <t>Lo que se pide aprobar.</t>
        </is>
      </c>
      <c r="E12" s="11" t="n"/>
    </row>
    <row r="13">
      <c r="A13" s="12" t="inlineStr">
        <is>
          <t>Total retorno año 1</t>
        </is>
      </c>
      <c r="B13" s="9" t="n">
        <v>282940000</v>
      </c>
      <c r="C13" s="13" t="inlineStr">
        <is>
          <t>Hoja 10</t>
        </is>
      </c>
      <c r="D13" s="14" t="inlineStr">
        <is>
          <t>Lo que devuelve el sistema.</t>
        </is>
      </c>
      <c r="E13" s="11" t="n"/>
    </row>
    <row r="14">
      <c r="A14" s="21" t="inlineStr">
        <is>
          <t>Utilidad bruta año 1</t>
        </is>
      </c>
      <c r="B14" s="9" t="n">
        <v>251943200</v>
      </c>
      <c r="C14" s="13">
        <f> Retorno - Inversión</f>
        <v/>
      </c>
      <c r="D14" s="14" t="inlineStr">
        <is>
          <t>Plata limpia adicional.</t>
        </is>
      </c>
      <c r="E14" s="11" t="n"/>
    </row>
    <row r="15">
      <c r="A15" s="21" t="inlineStr">
        <is>
          <t>ROI año 1</t>
        </is>
      </c>
      <c r="B15" s="35" t="n">
        <v>9.128039023383058</v>
      </c>
      <c r="C15" s="13">
        <f> Retorno / Inversión</f>
        <v/>
      </c>
      <c r="D15" s="14" t="inlineStr">
        <is>
          <t>Por cada $1 invertido vuelven ~$9.13. Cifra del pitch redondeada a ~$8.</t>
        </is>
      </c>
      <c r="E15" s="11" t="n"/>
    </row>
  </sheetData>
  <mergeCells count="10">
    <mergeCell ref="D8:E8"/>
    <mergeCell ref="D6:E6"/>
    <mergeCell ref="D7:E7"/>
    <mergeCell ref="D15:E15"/>
    <mergeCell ref="D13:E13"/>
    <mergeCell ref="D5:E5"/>
    <mergeCell ref="A11:E11"/>
    <mergeCell ref="D14:E14"/>
    <mergeCell ref="D9:E9"/>
    <mergeCell ref="D12:E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36" customWidth="1" min="3" max="3"/>
    <col width="38" customWidth="1" min="4" max="4"/>
    <col width="32" customWidth="1" min="5" max="5"/>
  </cols>
  <sheetData>
    <row r="1">
      <c r="A1" s="1" t="inlineStr">
        <is>
          <t>Sensibilidad — qué pasa si los supuestos se mueven</t>
        </is>
      </c>
    </row>
    <row r="2">
      <c r="A2" s="2" t="inlineStr">
        <is>
          <t>3 escenarios · v3 actualizado con ROAS F2 realista</t>
        </is>
      </c>
    </row>
    <row r="4">
      <c r="A4" s="7" t="inlineStr">
        <is>
          <t>Variable</t>
        </is>
      </c>
      <c r="B4" s="7" t="inlineStr">
        <is>
          <t>Conservador</t>
        </is>
      </c>
      <c r="C4" s="7" t="inlineStr">
        <is>
          <t>Base</t>
        </is>
      </c>
      <c r="D4" s="7" t="inlineStr">
        <is>
          <t>Optimista</t>
        </is>
      </c>
      <c r="E4" s="7" t="inlineStr">
        <is>
          <t>Comentario</t>
        </is>
      </c>
    </row>
    <row r="5">
      <c r="A5" s="24" t="inlineStr">
        <is>
          <t>AOV (ticket promedio)</t>
        </is>
      </c>
      <c r="B5" s="54" t="n">
        <v>190000</v>
      </c>
      <c r="C5" s="9" t="n">
        <v>200000</v>
      </c>
      <c r="D5" s="54" t="n">
        <v>220000</v>
      </c>
      <c r="E5" s="14" t="inlineStr">
        <is>
          <t>Cascada upsell adopta menos/más.</t>
        </is>
      </c>
    </row>
    <row r="6">
      <c r="A6" s="24" t="inlineStr">
        <is>
          <t>Reactivación % de la base</t>
        </is>
      </c>
      <c r="B6" s="55" t="n">
        <v>0.1</v>
      </c>
      <c r="C6" s="45" t="n">
        <v>0.15</v>
      </c>
      <c r="D6" s="55" t="n">
        <v>0.2</v>
      </c>
      <c r="E6" s="14" t="inlineStr">
        <is>
          <t>Performance email.</t>
        </is>
      </c>
    </row>
    <row r="7">
      <c r="A7" s="24" t="inlineStr">
        <is>
          <t>Reactivados absolutos</t>
        </is>
      </c>
      <c r="B7" s="56" t="n">
        <v>500</v>
      </c>
      <c r="C7" s="57" t="n">
        <v>750</v>
      </c>
      <c r="D7" s="56" t="n">
        <v>1000</v>
      </c>
      <c r="E7" s="14">
        <f> base × %</f>
        <v/>
      </c>
    </row>
    <row r="8">
      <c r="A8" s="24" t="inlineStr">
        <is>
          <t>Ingresos reactivación</t>
        </is>
      </c>
      <c r="B8" s="54" t="n">
        <v>95000000</v>
      </c>
      <c r="C8" s="9" t="n">
        <v>150000000</v>
      </c>
      <c r="D8" s="54" t="n">
        <v>220000000</v>
      </c>
      <c r="E8" s="14">
        <f> reactivados × AOV</f>
        <v/>
      </c>
    </row>
    <row r="9">
      <c r="A9" s="24" t="inlineStr">
        <is>
          <t>ROAS BOFU F1</t>
        </is>
      </c>
      <c r="B9" s="58" t="n">
        <v>4.5</v>
      </c>
      <c r="C9" s="35" t="n">
        <v>5.5</v>
      </c>
      <c r="D9" s="58" t="n">
        <v>6.5</v>
      </c>
      <c r="E9" s="14" t="inlineStr">
        <is>
          <t>Audiencia caliente Google Search.</t>
        </is>
      </c>
    </row>
    <row r="10">
      <c r="A10" s="24" t="inlineStr">
        <is>
          <t>ROAS F2 blended</t>
        </is>
      </c>
      <c r="B10" s="58" t="n">
        <v>4</v>
      </c>
      <c r="C10" s="35" t="n">
        <v>4.83</v>
      </c>
      <c r="D10" s="58" t="n">
        <v>5.5</v>
      </c>
      <c r="E10" s="14" t="inlineStr">
        <is>
          <t>Calidad audiencias custom.</t>
        </is>
      </c>
    </row>
    <row r="11">
      <c r="A11" s="24" t="inlineStr">
        <is>
          <t>Ingresos pauta año 1</t>
        </is>
      </c>
      <c r="B11" s="54" t="n">
        <v>100000000</v>
      </c>
      <c r="C11" s="9" t="n">
        <v>118940000</v>
      </c>
      <c r="D11" s="54" t="n">
        <v>140000000</v>
      </c>
      <c r="E11" s="14" t="inlineStr">
        <is>
          <t>F1 + F2.</t>
        </is>
      </c>
    </row>
    <row r="12">
      <c r="A12" s="24" t="inlineStr">
        <is>
          <t>Ingresos totales año 1</t>
        </is>
      </c>
      <c r="B12" s="54" t="n">
        <v>220000000</v>
      </c>
      <c r="C12" s="9" t="n">
        <v>283000000</v>
      </c>
      <c r="D12" s="54" t="n">
        <v>370000000</v>
      </c>
      <c r="E12" s="14" t="inlineStr">
        <is>
          <t>Suma de todas las fuentes.</t>
        </is>
      </c>
    </row>
    <row r="13">
      <c r="A13" s="24" t="inlineStr">
        <is>
          <t>ROI año 1</t>
        </is>
      </c>
      <c r="B13" s="58" t="n">
        <v>7.1</v>
      </c>
      <c r="C13" s="35" t="n">
        <v>9.130000000000001</v>
      </c>
      <c r="D13" s="58" t="n">
        <v>11.9</v>
      </c>
      <c r="E13" s="14">
        <f> Ingresos / $31M inversión</f>
        <v/>
      </c>
    </row>
    <row r="15">
      <c r="A15" s="59" t="inlineStr">
        <is>
          <t>REGLA DE ORO</t>
        </is>
      </c>
    </row>
    <row r="16" ht="44" customHeight="1">
      <c r="A16" s="60" t="inlineStr">
        <is>
          <t>Incluso CONSERVADOR (BOFU 4.5x, F2 4.0x, reactivación 10%): ROI 7.1x. La inversión se paga muchas veces.</t>
        </is>
      </c>
    </row>
  </sheetData>
  <mergeCells count="2">
    <mergeCell ref="A16:E16"/>
    <mergeCell ref="A15:E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36" customWidth="1" min="3" max="3"/>
    <col width="38" customWidth="1" min="4" max="4"/>
    <col width="32" customWidth="1" min="5" max="5"/>
  </cols>
  <sheetData>
    <row r="1">
      <c r="A1" s="1" t="inlineStr">
        <is>
          <t>Validación con Calculadora de Presupuesto FB + IG</t>
        </is>
      </c>
    </row>
    <row r="2">
      <c r="A2" s="2" t="inlineStr">
        <is>
          <t>Fuente: Calculadora_de_Presupuesto_Para_Anuncios_en_Facebook_e_Instagram.xlsx (input usuario)</t>
        </is>
      </c>
    </row>
    <row r="4" ht="28" customHeight="1">
      <c r="A4" s="4" t="inlineStr">
        <is>
          <t>FÓRMULA MAESTRA DE LA CALCULADORA</t>
        </is>
      </c>
    </row>
    <row r="5" ht="22" customHeight="1">
      <c r="A5" s="44" t="inlineStr">
        <is>
          <t>·  Hoja 'Ventas' (BOFU directo): ROAS Objetivo = Meta Ingresos / Inversión = 1 / (% margen invertible).</t>
        </is>
      </c>
    </row>
    <row r="6" ht="22" customHeight="1">
      <c r="A6" s="44" t="inlineStr">
        <is>
          <t>·  Hoja 'Interacción' (TOFU/MOFU): mide costo por lead × % conversión final → genera ROAS al cierre del funnel.</t>
        </is>
      </c>
    </row>
    <row r="7" ht="22" customHeight="1">
      <c r="A7" s="44" t="inlineStr">
        <is>
          <t>·  Insight clave: el ROAS de cada campaña depende del % de margen que la marca decide invertir en adquisición.</t>
        </is>
      </c>
    </row>
    <row r="8" ht="22" customHeight="1">
      <c r="A8" s="44" t="inlineStr">
        <is>
          <t>·  Mientras más caliente la audiencia, menor % de margen necesita = ROAS más alto.</t>
        </is>
      </c>
    </row>
    <row r="10" ht="28" customHeight="1">
      <c r="A10" s="6" t="inlineStr">
        <is>
          <t>APLICACIÓN A LAS 7 CAMPAÑAS ATRATUS</t>
        </is>
      </c>
    </row>
    <row r="11">
      <c r="A11" s="7" t="inlineStr">
        <is>
          <t>Campaña Atratus</t>
        </is>
      </c>
      <c r="B11" s="7" t="inlineStr">
        <is>
          <t>AOV</t>
        </is>
      </c>
      <c r="C11" s="7" t="inlineStr">
        <is>
          <t>% margen invertible</t>
        </is>
      </c>
      <c r="D11" s="7" t="inlineStr">
        <is>
          <t>CPA = AOV × %</t>
        </is>
      </c>
      <c r="E11" s="7" t="inlineStr">
        <is>
          <t>ROAS = 1/%</t>
        </is>
      </c>
    </row>
    <row r="12">
      <c r="A12" s="24" t="inlineStr">
        <is>
          <t>F1 · BOFU Lluvias (Google Search)</t>
        </is>
      </c>
      <c r="B12" s="28" t="n">
        <v>200000</v>
      </c>
      <c r="C12" s="29" t="n">
        <v>0.18</v>
      </c>
      <c r="D12" s="28" t="n">
        <v>36000</v>
      </c>
      <c r="E12" s="30" t="n">
        <v>5.5</v>
      </c>
    </row>
    <row r="13">
      <c r="A13" s="24" t="inlineStr">
        <is>
          <t>F1 · MOFU Big Day (Meta Ads)</t>
        </is>
      </c>
      <c r="B13" s="28" t="n">
        <v>200000</v>
      </c>
      <c r="C13" s="29" t="n">
        <v>0.4</v>
      </c>
      <c r="D13" s="28" t="n">
        <v>80000</v>
      </c>
      <c r="E13" s="30" t="n">
        <v>2.5</v>
      </c>
    </row>
    <row r="14">
      <c r="A14" s="24" t="inlineStr">
        <is>
          <t>F1 · TOFU Storytelling (Reels)</t>
        </is>
      </c>
      <c r="B14" s="28" t="n">
        <v>200000</v>
      </c>
      <c r="C14" s="29" t="n">
        <v>0.83</v>
      </c>
      <c r="D14" s="28" t="n">
        <v>166000</v>
      </c>
      <c r="E14" s="30" t="n">
        <v>1.2</v>
      </c>
    </row>
    <row r="15">
      <c r="A15" s="24" t="inlineStr">
        <is>
          <t>F2 · Presentación (Lookalike fríos)</t>
        </is>
      </c>
      <c r="B15" s="28" t="n">
        <v>200000</v>
      </c>
      <c r="C15" s="29" t="n">
        <v>0.4</v>
      </c>
      <c r="D15" s="28" t="n">
        <v>80000</v>
      </c>
      <c r="E15" s="30" t="n">
        <v>2.5</v>
      </c>
    </row>
    <row r="16">
      <c r="A16" s="24" t="inlineStr">
        <is>
          <t>F2 · Evaluación (Viewers tibios)</t>
        </is>
      </c>
      <c r="B16" s="28" t="n">
        <v>200000</v>
      </c>
      <c r="C16" s="29" t="n">
        <v>0.25</v>
      </c>
      <c r="D16" s="28" t="n">
        <v>50000</v>
      </c>
      <c r="E16" s="30" t="n">
        <v>4</v>
      </c>
    </row>
    <row r="17">
      <c r="A17" s="24" t="inlineStr">
        <is>
          <t>F2 · Conversión (Carritos calientes)</t>
        </is>
      </c>
      <c r="B17" s="28" t="n">
        <v>200000</v>
      </c>
      <c r="C17" s="29" t="n">
        <v>0.18</v>
      </c>
      <c r="D17" s="28" t="n">
        <v>36000</v>
      </c>
      <c r="E17" s="30" t="n">
        <v>5.5</v>
      </c>
    </row>
    <row r="18">
      <c r="A18" s="24" t="inlineStr">
        <is>
          <t>F2 · Ascensión (Base muy caliente)</t>
        </is>
      </c>
      <c r="B18" s="28" t="n">
        <v>200000</v>
      </c>
      <c r="C18" s="29" t="n">
        <v>0.14</v>
      </c>
      <c r="D18" s="28" t="n">
        <v>28000</v>
      </c>
      <c r="E18" s="30" t="n">
        <v>7</v>
      </c>
    </row>
    <row r="20" ht="28" customHeight="1">
      <c r="A20" s="23" t="inlineStr">
        <is>
          <t>LO QUE VALIDÓ LA CALCULADORA</t>
        </is>
      </c>
    </row>
    <row r="21" ht="22" customHeight="1">
      <c r="A21" s="5" t="inlineStr">
        <is>
          <t>·  BOFU 5.5x = realista (Atratus invierte 18% del AOV en pauta caliente).</t>
        </is>
      </c>
    </row>
    <row r="22" ht="22" customHeight="1">
      <c r="A22" s="5" t="inlineStr">
        <is>
          <t>·  Ascensión bajada de 10x → 7x (invertir 14% del AOV en base es realista, no 10%).</t>
        </is>
      </c>
    </row>
    <row r="23" ht="22" customHeight="1">
      <c r="A23" s="5" t="inlineStr">
        <is>
          <t>·  Conversión bajada de 8x → 5.5x (carritos son calientes pero no tan calientes como base histórica).</t>
        </is>
      </c>
    </row>
    <row r="24" ht="22" customHeight="1">
      <c r="A24" s="5" t="inlineStr">
        <is>
          <t>·  Evaluación 4x mantenida (viewers tibios necesitan invertir 25% del margen).</t>
        </is>
      </c>
    </row>
    <row r="25" ht="22" customHeight="1">
      <c r="A25" s="5" t="inlineStr">
        <is>
          <t>·  Resultado: F2 blended pasó de 5.5x (optimista) a 4.83x (defendible al peso).</t>
        </is>
      </c>
    </row>
  </sheetData>
  <mergeCells count="12">
    <mergeCell ref="A21:E21"/>
    <mergeCell ref="A4:E4"/>
    <mergeCell ref="A20:E20"/>
    <mergeCell ref="A24:E24"/>
    <mergeCell ref="A7:E7"/>
    <mergeCell ref="A10:E10"/>
    <mergeCell ref="A25:E25"/>
    <mergeCell ref="A5:E5"/>
    <mergeCell ref="A23:E23"/>
    <mergeCell ref="A8:E8"/>
    <mergeCell ref="A6:E6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2026-05-13T23:02:07Z</dcterms:created>
  <dcterms:modified xmlns:dcterms="http://purl.org/dc/terms/" xmlns:xsi="http://www.w3.org/2001/XMLSchema-instance" xsi:type="dcterms:W3CDTF">2026-05-13T23:02:07Z</dcterms:modified>
</cp:coreProperties>
</file>